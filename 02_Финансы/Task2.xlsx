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Б" sheetId="1" r:id="rId5"/>
    <sheet state="visible" name="БД" sheetId="2" r:id="rId6"/>
    <sheet state="visible" name="Одинесс" sheetId="3" r:id="rId7"/>
    <sheet state="visible" name="ML" sheetId="4" r:id="rId8"/>
    <sheet state="visible" name="Девопс" sheetId="5" r:id="rId9"/>
  </sheets>
  <definedNames/>
  <calcPr/>
</workbook>
</file>

<file path=xl/sharedStrings.xml><?xml version="1.0" encoding="utf-8"?>
<sst xmlns="http://schemas.openxmlformats.org/spreadsheetml/2006/main" count="115" uniqueCount="29">
  <si>
    <t>Показатель</t>
  </si>
  <si>
    <t>Значение (₽)</t>
  </si>
  <si>
    <t>Формула / Комментарий</t>
  </si>
  <si>
    <t>Средняя ЗП кандидата (мес)</t>
  </si>
  <si>
    <t>Медиана рынка</t>
  </si>
  <si>
    <t>Годовая ЗП</t>
  </si>
  <si>
    <t>ЗП (мес) × 12</t>
  </si>
  <si>
    <t>Наш гонорар</t>
  </si>
  <si>
    <t>20% от годовой ЗП</t>
  </si>
  <si>
    <t>Расходы: Работа рекрутера</t>
  </si>
  <si>
    <t>Фикс. оплата за закрытие (~80 часов)</t>
  </si>
  <si>
    <t>Расходы: Тех. интервьюер</t>
  </si>
  <si>
    <t>Оплата эксперту за собеседования</t>
  </si>
  <si>
    <t>Расходы: Премия рекрутеру</t>
  </si>
  <si>
    <t>15% от гонорара (840 000 × 0.15)</t>
  </si>
  <si>
    <t>Расходы: Инструменты</t>
  </si>
  <si>
    <t>Доля затрат на подписки на 1 сделку</t>
  </si>
  <si>
    <t>Итого расходов на сделку</t>
  </si>
  <si>
    <t>Сумма всех расходов выше</t>
  </si>
  <si>
    <t>ЧИСТАЯ ПРИБЫЛЬ</t>
  </si>
  <si>
    <t>Гонорар − Итого расходов</t>
  </si>
  <si>
    <t>Маржинальность сделки</t>
  </si>
  <si>
    <t>Чистая прибыль / Гонорар (в %)</t>
  </si>
  <si>
    <t>15% от гонорара (768 000 × 0.15)</t>
  </si>
  <si>
    <t>15% от гонорара (720 000 × 0.15)</t>
  </si>
  <si>
    <t>Чистая прибыль / Гонорар в %</t>
  </si>
  <si>
    <t>Увеличенная ставка (эксперты по AI в дефиците)</t>
  </si>
  <si>
    <t>15% от гонорара (960 000 × 0.15)</t>
  </si>
  <si>
    <t>15% от гонорара (888 000 × 0.15)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</si>
</sst>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10.88"/>
    <col customWidth="1" min="3" max="3" width="30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350000.0</v>
      </c>
      <c r="C2" s="1" t="s">
        <v>4</v>
      </c>
    </row>
    <row r="3">
      <c r="A3" s="1" t="s">
        <v>5</v>
      </c>
      <c r="B3" s="2">
        <f>B2*12</f>
        <v>4200000</v>
      </c>
      <c r="C3" s="1" t="s">
        <v>6</v>
      </c>
    </row>
    <row r="4">
      <c r="A4" s="1" t="s">
        <v>7</v>
      </c>
      <c r="B4" s="2">
        <f>B3*0.2</f>
        <v>840000</v>
      </c>
      <c r="C4" s="1" t="s">
        <v>8</v>
      </c>
    </row>
    <row r="5">
      <c r="A5" s="1" t="s">
        <v>9</v>
      </c>
      <c r="B5" s="2">
        <v>120000.0</v>
      </c>
      <c r="C5" s="1" t="s">
        <v>10</v>
      </c>
    </row>
    <row r="6">
      <c r="A6" s="1" t="s">
        <v>11</v>
      </c>
      <c r="B6" s="2">
        <v>32000.0</v>
      </c>
      <c r="C6" s="1" t="s">
        <v>12</v>
      </c>
    </row>
    <row r="7">
      <c r="A7" s="1" t="s">
        <v>13</v>
      </c>
      <c r="B7" s="2">
        <v>126000.0</v>
      </c>
      <c r="C7" s="1" t="s">
        <v>14</v>
      </c>
    </row>
    <row r="8">
      <c r="A8" s="1" t="s">
        <v>15</v>
      </c>
      <c r="B8" s="2">
        <v>20000.0</v>
      </c>
      <c r="C8" s="1" t="s">
        <v>16</v>
      </c>
    </row>
    <row r="9">
      <c r="A9" s="1" t="s">
        <v>17</v>
      </c>
      <c r="B9" s="2">
        <f>SUM(B5:B8)</f>
        <v>298000</v>
      </c>
      <c r="C9" s="1" t="s">
        <v>18</v>
      </c>
    </row>
    <row r="10">
      <c r="A10" s="1" t="s">
        <v>19</v>
      </c>
      <c r="B10" s="2">
        <f>B4-B9</f>
        <v>542000</v>
      </c>
      <c r="C10" s="1" t="s">
        <v>20</v>
      </c>
    </row>
    <row r="11">
      <c r="A11" s="1" t="s">
        <v>21</v>
      </c>
      <c r="B11" s="1">
        <f>B10/B4 * 100</f>
        <v>64.52380952</v>
      </c>
      <c r="C11" s="2" t="s">
        <v>22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10.88"/>
    <col customWidth="1" min="3" max="3" width="30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320000.0</v>
      </c>
      <c r="C2" s="1" t="s">
        <v>4</v>
      </c>
    </row>
    <row r="3">
      <c r="A3" s="1" t="s">
        <v>5</v>
      </c>
      <c r="B3" s="2">
        <f>B2*12</f>
        <v>3840000</v>
      </c>
      <c r="C3" s="1" t="s">
        <v>6</v>
      </c>
    </row>
    <row r="4">
      <c r="A4" s="1" t="s">
        <v>7</v>
      </c>
      <c r="B4" s="2">
        <f>B3*0.2</f>
        <v>768000</v>
      </c>
      <c r="C4" s="1" t="s">
        <v>8</v>
      </c>
    </row>
    <row r="5">
      <c r="A5" s="1" t="s">
        <v>9</v>
      </c>
      <c r="B5" s="2">
        <v>120000.0</v>
      </c>
      <c r="C5" s="1" t="s">
        <v>10</v>
      </c>
    </row>
    <row r="6">
      <c r="A6" s="1" t="s">
        <v>11</v>
      </c>
      <c r="B6" s="2">
        <v>32000.0</v>
      </c>
      <c r="C6" s="1" t="s">
        <v>12</v>
      </c>
    </row>
    <row r="7">
      <c r="A7" s="1" t="s">
        <v>13</v>
      </c>
      <c r="B7" s="2">
        <v>115200.0</v>
      </c>
      <c r="C7" s="1" t="s">
        <v>23</v>
      </c>
    </row>
    <row r="8">
      <c r="A8" s="1" t="s">
        <v>15</v>
      </c>
      <c r="B8" s="2">
        <v>20000.0</v>
      </c>
      <c r="C8" s="1" t="s">
        <v>16</v>
      </c>
    </row>
    <row r="9">
      <c r="A9" s="1" t="s">
        <v>17</v>
      </c>
      <c r="B9" s="2">
        <f>SUM(B5:B8)</f>
        <v>287200</v>
      </c>
      <c r="C9" s="1" t="s">
        <v>18</v>
      </c>
    </row>
    <row r="10">
      <c r="A10" s="1" t="s">
        <v>19</v>
      </c>
      <c r="B10" s="2">
        <f>B4-B9</f>
        <v>480800</v>
      </c>
      <c r="C10" s="1" t="s">
        <v>20</v>
      </c>
    </row>
    <row r="11">
      <c r="A11" s="1" t="s">
        <v>21</v>
      </c>
      <c r="B11" s="1">
        <f>B10/B4 * 100</f>
        <v>62.60416667</v>
      </c>
      <c r="C11" s="2" t="s">
        <v>22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10.88"/>
    <col customWidth="1" min="3" max="3" width="30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300000.0</v>
      </c>
      <c r="C2" s="1" t="s">
        <v>4</v>
      </c>
    </row>
    <row r="3">
      <c r="A3" s="1" t="s">
        <v>5</v>
      </c>
      <c r="B3" s="2">
        <f>B2*12</f>
        <v>3600000</v>
      </c>
      <c r="C3" s="1" t="s">
        <v>6</v>
      </c>
    </row>
    <row r="4">
      <c r="A4" s="1" t="s">
        <v>7</v>
      </c>
      <c r="B4" s="2">
        <f>B3*0.2</f>
        <v>720000</v>
      </c>
      <c r="C4" s="1" t="s">
        <v>8</v>
      </c>
    </row>
    <row r="5">
      <c r="A5" s="1" t="s">
        <v>9</v>
      </c>
      <c r="B5" s="2">
        <v>120000.0</v>
      </c>
      <c r="C5" s="1" t="s">
        <v>10</v>
      </c>
    </row>
    <row r="6">
      <c r="A6" s="1" t="s">
        <v>11</v>
      </c>
      <c r="B6" s="2">
        <v>32000.0</v>
      </c>
      <c r="C6" s="1" t="s">
        <v>12</v>
      </c>
    </row>
    <row r="7">
      <c r="A7" s="1" t="s">
        <v>13</v>
      </c>
      <c r="B7" s="2">
        <v>108000.0</v>
      </c>
      <c r="C7" s="1" t="s">
        <v>24</v>
      </c>
    </row>
    <row r="8">
      <c r="A8" s="1" t="s">
        <v>15</v>
      </c>
      <c r="B8" s="2">
        <v>20000.0</v>
      </c>
      <c r="C8" s="1" t="s">
        <v>16</v>
      </c>
    </row>
    <row r="9">
      <c r="A9" s="1" t="s">
        <v>17</v>
      </c>
      <c r="B9" s="2">
        <f>SUM(B5:B8)</f>
        <v>280000</v>
      </c>
      <c r="C9" s="1" t="s">
        <v>18</v>
      </c>
    </row>
    <row r="10">
      <c r="A10" s="1" t="s">
        <v>19</v>
      </c>
      <c r="B10" s="2">
        <f>B4-B9</f>
        <v>440000</v>
      </c>
      <c r="C10" s="1" t="s">
        <v>20</v>
      </c>
    </row>
    <row r="11">
      <c r="A11" s="1" t="s">
        <v>21</v>
      </c>
      <c r="B11" s="1">
        <f>B10/B4 * 100</f>
        <v>61.11111111</v>
      </c>
      <c r="C11" s="2" t="s">
        <v>25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10.88"/>
    <col customWidth="1" min="3" max="3" width="39.2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400000.0</v>
      </c>
      <c r="C2" s="1" t="s">
        <v>4</v>
      </c>
    </row>
    <row r="3">
      <c r="A3" s="1" t="s">
        <v>5</v>
      </c>
      <c r="B3" s="2">
        <f>B2*12</f>
        <v>4800000</v>
      </c>
      <c r="C3" s="1" t="s">
        <v>6</v>
      </c>
    </row>
    <row r="4">
      <c r="A4" s="1" t="s">
        <v>7</v>
      </c>
      <c r="B4" s="2">
        <f>B3*0.2</f>
        <v>960000</v>
      </c>
      <c r="C4" s="1" t="s">
        <v>8</v>
      </c>
    </row>
    <row r="5">
      <c r="A5" s="1" t="s">
        <v>9</v>
      </c>
      <c r="B5" s="2">
        <v>120000.0</v>
      </c>
      <c r="C5" s="1" t="s">
        <v>10</v>
      </c>
    </row>
    <row r="6">
      <c r="A6" s="1" t="s">
        <v>11</v>
      </c>
      <c r="B6" s="2">
        <v>40000.0</v>
      </c>
      <c r="C6" s="1" t="s">
        <v>26</v>
      </c>
    </row>
    <row r="7">
      <c r="A7" s="1" t="s">
        <v>13</v>
      </c>
      <c r="B7" s="2">
        <v>144000.0</v>
      </c>
      <c r="C7" s="1" t="s">
        <v>27</v>
      </c>
    </row>
    <row r="8">
      <c r="A8" s="1" t="s">
        <v>15</v>
      </c>
      <c r="B8" s="2">
        <v>20000.0</v>
      </c>
      <c r="C8" s="1" t="s">
        <v>16</v>
      </c>
    </row>
    <row r="9">
      <c r="A9" s="1" t="s">
        <v>17</v>
      </c>
      <c r="B9" s="2">
        <f>SUM(B5:B8)</f>
        <v>324000</v>
      </c>
      <c r="C9" s="1" t="s">
        <v>18</v>
      </c>
    </row>
    <row r="10">
      <c r="A10" s="1" t="s">
        <v>19</v>
      </c>
      <c r="B10" s="2">
        <f>B4-B9</f>
        <v>636000</v>
      </c>
      <c r="C10" s="1" t="s">
        <v>20</v>
      </c>
    </row>
    <row r="11">
      <c r="A11" s="1" t="s">
        <v>21</v>
      </c>
      <c r="B11" s="1">
        <f>B10/B4 * 100</f>
        <v>66.25</v>
      </c>
      <c r="C11" s="2" t="s">
        <v>25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10.88"/>
    <col customWidth="1" min="3" max="3" width="30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370000.0</v>
      </c>
      <c r="C2" s="1" t="s">
        <v>4</v>
      </c>
    </row>
    <row r="3">
      <c r="A3" s="1" t="s">
        <v>5</v>
      </c>
      <c r="B3" s="2">
        <f>B2*12</f>
        <v>4440000</v>
      </c>
      <c r="C3" s="1" t="s">
        <v>6</v>
      </c>
    </row>
    <row r="4">
      <c r="A4" s="1" t="s">
        <v>7</v>
      </c>
      <c r="B4" s="2">
        <f>B3*0.2</f>
        <v>888000</v>
      </c>
      <c r="C4" s="1" t="s">
        <v>8</v>
      </c>
    </row>
    <row r="5">
      <c r="A5" s="1" t="s">
        <v>9</v>
      </c>
      <c r="B5" s="2">
        <v>120000.0</v>
      </c>
      <c r="C5" s="1" t="s">
        <v>10</v>
      </c>
    </row>
    <row r="6">
      <c r="A6" s="1" t="s">
        <v>11</v>
      </c>
      <c r="B6" s="2">
        <v>32000.0</v>
      </c>
      <c r="C6" s="1" t="s">
        <v>12</v>
      </c>
    </row>
    <row r="7">
      <c r="A7" s="1" t="s">
        <v>13</v>
      </c>
      <c r="B7" s="2">
        <v>133200.0</v>
      </c>
      <c r="C7" s="1" t="s">
        <v>28</v>
      </c>
    </row>
    <row r="8">
      <c r="A8" s="1" t="s">
        <v>15</v>
      </c>
      <c r="B8" s="2">
        <v>20000.0</v>
      </c>
      <c r="C8" s="1" t="s">
        <v>16</v>
      </c>
    </row>
    <row r="9">
      <c r="A9" s="1" t="s">
        <v>17</v>
      </c>
      <c r="B9" s="2">
        <f>SUM(B5:B8)</f>
        <v>305200</v>
      </c>
      <c r="C9" s="1" t="s">
        <v>18</v>
      </c>
    </row>
    <row r="10">
      <c r="A10" s="1" t="s">
        <v>19</v>
      </c>
      <c r="B10" s="2">
        <f>B4-B9</f>
        <v>582800</v>
      </c>
      <c r="C10" s="1" t="s">
        <v>20</v>
      </c>
    </row>
    <row r="11">
      <c r="A11" s="1" t="s">
        <v>21</v>
      </c>
      <c r="B11" s="1">
        <f>B10/B4 * 100</f>
        <v>65.63063063</v>
      </c>
      <c r="C11" s="2" t="s">
        <v>25</v>
      </c>
    </row>
  </sheetData>
  <drawing r:id="rId1"/>
</worksheet>
</file>