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тог" sheetId="1" r:id="rId5"/>
    <sheet state="visible" name="Регистрация ООО" sheetId="2" r:id="rId6"/>
    <sheet state="visible" name="Подписки" sheetId="3" r:id="rId7"/>
    <sheet state="visible" name="ATS huntflow" sheetId="4" r:id="rId8"/>
    <sheet state="visible" name="Инфра" sheetId="5" r:id="rId9"/>
    <sheet state="visible" name="Маркетинг" sheetId="6" r:id="rId10"/>
    <sheet state="visible" name="Юридич. услуги" sheetId="7" r:id="rId11"/>
    <sheet state="visible" name="Аккредитация" sheetId="8" r:id="rId12"/>
    <sheet state="visible" name="Резерв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tc={06437fd4-9ea6-4efb-a40d-494ca198bdce}</author>
    <author>tc={3d7a33fd-2973-482c-beff-8e1a3874cfb4}</author>
    <author>tc={5d669c31-6617-44a6-89e3-83fa77608359}</author>
    <author>tc={78fe6a5c-7890-4aac-b486-9797a77e55f0}</author>
    <author>tc={c93d15ec-1609-4158-9c93-b2e62a9e352a}</author>
  </authors>
  <commentList>
    <comment authorId="0" xr:uid="{06437fd4-9ea6-4efb-a40d-494ca198bdce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https://www.nalog.gov.ru/rn77/yul/interest/reg_yl/
</t>
      </text>
    </comment>
    <comment authorId="1" xr:uid="{3d7a33fd-2973-482c-beff-8e1a3874cfb4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https://notariat.ru/ru-ru/actions-and-tariffs/
</t>
      </text>
    </comment>
    <comment authorId="2" xr:uid="{5d669c31-6617-44a6-89e3-83fa77608359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https://e-kontur.ru/prices
</t>
      </text>
    </comment>
    <comment authorId="3" xr:uid="{78fe6a5c-7890-4aac-b486-9797a77e55f0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tbank.ru/business/account/?dco_ic=e1622795-9e24-4599-85c8-1c80c8d968aa&amp;utm_medium=ptr.act&amp;utm_campaign=sme.partners&amp;agentId=6-100SYES1N&amp;agentSsoId=83b7fe2c-f881-4731-b2be-0ad1b4925f0a&amp;utm_source=partner_rko_a_sme&amp;etext=2202.AIX8WE5nVizOupuAb-mQo0uhePyqZTAulHRHsFqjTNF3YXVpa2FlZmtqbWtsd3Nl.2f7f304bdfa35801f3658c06adb07a94472c8e9e&amp;yclid=8315534102060859391
</t>
      </text>
    </comment>
    <comment authorId="4" xr:uid="{c93d15ec-1609-4158-9c93-b2e62a9e352a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https://pechati.ru/contacts/новослободская/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tc={1211a71d-c13a-4f6d-a0ec-677a754efcad}</author>
    <author>tc={1a1a38cd-e079-4919-ad60-5d243e556c79}</author>
  </authors>
  <commentList>
    <comment authorId="0" xr:uid="{1211a71d-c13a-4f6d-a0ec-677a754efcad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https://voronezh.hh.ru/article/cvbase
</t>
      </text>
    </comment>
    <comment authorId="1" xr:uid="{1a1a38cd-e079-4919-ad60-5d243e556c79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https://career.habr.com/price?vat=22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tc={85735eee-fb99-4c97-9ca9-9ac84760de97}</author>
  </authors>
  <commentList>
    <comment authorId="0" xr:uid="{85735eee-fb99-4c97-9ca9-9ac84760de97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https://huntflow.ru/price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tc={ab30c9a1-2c7e-4c6f-9190-fba180c1695c}</author>
    <author>tc={b14fc11e-3692-4443-8ee6-09c1196c3a7b}</author>
    <author>tc={ca96e5d5-7ec3-424c-944c-b40c46a96609}</author>
    <author>tc={ee5ea035-06bc-490c-b10e-1a566094c92a}</author>
  </authors>
  <commentList>
    <comment authorId="0" xr:uid="{ab30c9a1-2c7e-4c6f-9190-fba180c1695c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https://tilda.cc/ru/pricing/
</t>
      </text>
    </comment>
    <comment authorId="1" xr:uid="{b14fc11e-3692-4443-8ee6-09c1196c3a7b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https://www.fl.ru/
</t>
      </text>
    </comment>
    <comment authorId="2" xr:uid="{ca96e5d5-7ec3-424c-944c-b40c46a96609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https://timeweb.com/ru/services/domains/?utm_source=yandex&amp;utm_medium=cpc&amp;utm_campaign=708626955&amp;utm_content=17676997750&amp;utm_term=---autotargeting&amp;etext=&amp;yclid=1610822619961491455
</t>
      </text>
    </comment>
    <comment authorId="3" xr:uid="{ee5ea035-06bc-490c-b10e-1a566094c92a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https://typetype.ru/
https://www.magnific.com/pricing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tc={0b9e9544-e1f4-45dd-86bb-07ba17ae8497}</author>
    <author>tc={5d4d6983-9867-4631-900b-c864b41c4ed4}</author>
    <author>tc={67a70d32-4b01-4350-b479-7e290ed3bf0b}</author>
  </authors>
  <commentList>
    <comment authorId="0" xr:uid="{0b9e9544-e1f4-45dd-86bb-07ba17ae8497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https://www.google.com/url?q=https://profi.ru/juristy&amp;sa=D&amp;source=editors&amp;ust=1779326323137071&amp;usg=AOvVaw3TNgVwxLjG3fuxeFb3VAEq
</t>
      </text>
    </comment>
    <comment authorId="1" xr:uid="{5d4d6983-9867-4631-900b-c864b41c4ed4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https://profi.ru/juristy
</t>
      </text>
    </comment>
    <comment authorId="2" xr:uid="{67a70d32-4b01-4350-b479-7e290ed3bf0b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https://pravoved.ru/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tc={0b79dccb-4972-4786-8ba1-3d83d8ec6f76}</author>
    <author>tc={51ac040a-8799-4137-b601-facaa1668643}</author>
  </authors>
  <commentList>
    <comment authorId="0" xr:uid="{0b79dccb-4972-4786-8ba1-3d83d8ec6f76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https://sber-solutions.ru/
</t>
      </text>
    </comment>
    <comment authorId="1" xr:uid="{51ac040a-8799-4137-b601-facaa1668643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https://kontur.ru/ca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tc={f57563ae-bea2-46f7-b6a4-5cba567f91a5}</author>
  </authors>
  <commentList>
    <comment authorId="0" xr:uid="{f57563ae-bea2-46f7-b6a4-5cba567f91a5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https://360.yandex.ru/business/tariff/
</t>
      </text>
    </comment>
  </commentList>
</comments>
</file>

<file path=xl/sharedStrings.xml><?xml version="1.0" encoding="utf-8"?>
<sst xmlns="http://schemas.openxmlformats.org/spreadsheetml/2006/main" count="95" uniqueCount="64">
  <si>
    <t>Статья расходов</t>
  </si>
  <si>
    <t>Сумма (₽)</t>
  </si>
  <si>
    <t>Регистрация ООО и док-ты</t>
  </si>
  <si>
    <t>Подписки (на 3 мес.)</t>
  </si>
  <si>
    <t>ATS Хантфлоу (на 3 мес.)</t>
  </si>
  <si>
    <t>Инфраструктура (сайт)</t>
  </si>
  <si>
    <t>Маркетинг и контент</t>
  </si>
  <si>
    <t>Юридические услуги</t>
  </si>
  <si>
    <t>Аккредитация ИТ (ФЗ-116)</t>
  </si>
  <si>
    <t>Резервный фонд</t>
  </si>
  <si>
    <t>ЗАЛОЖЕНО</t>
  </si>
  <si>
    <t>ИТОГО</t>
  </si>
  <si>
    <t>Комментарий / Обоснование</t>
  </si>
  <si>
    <t>Госпошлина за регистрацию ООО</t>
  </si>
  <si>
    <t>Стандартная пошлина (если подаем не электронно, закладываем на всякий случай)</t>
  </si>
  <si>
    <t>Нотариальные услуги</t>
  </si>
  <si>
    <t>Доверенности, заверение подписей учредителей, копии документов</t>
  </si>
  <si>
    <t>Открытие расчетного счета и РКО</t>
  </si>
  <si>
    <t>Тиньков. Аванс за банковское обслуживание на первые месяцы (премиум-пакет для юрлица)</t>
  </si>
  <si>
    <t>Изготовление печати</t>
  </si>
  <si>
    <t>Автоматическая печать организации</t>
  </si>
  <si>
    <t>Оплата онлайн-бухгалтерии (на год)</t>
  </si>
  <si>
    <t>Сервис Контур.Эльба для ведения учета без штатного бухгалтера. Тариф премиум</t>
  </si>
  <si>
    <t>`</t>
  </si>
  <si>
    <t>hh.ru (доступ к базе)</t>
  </si>
  <si>
    <t>Покупка пакета контактов/доступа к базе резюме по РФ на 3 месяца</t>
  </si>
  <si>
    <t>Хабр Карьера (премиум)</t>
  </si>
  <si>
    <t>Доступ к базе резюме
1 месяц • 900 открытий контактов для поиска senior-разработчиков (на 3 месяца)</t>
  </si>
  <si>
    <t>Лицензии Хантфлоу (6 чел × 3 мес)</t>
  </si>
  <si>
    <t>Цена 6 250 в год за 1 пользователя. Берем на всю команду (6 чел)</t>
  </si>
  <si>
    <t>Выбрана из-за лучших интеграций с hh.ru и Telegram</t>
  </si>
  <si>
    <t>Доменное имя (на 1 год)</t>
  </si>
  <si>
    <t>Покупка домена в зоне .ru</t>
  </si>
  <si>
    <t>Подписка на конструктор сайтов</t>
  </si>
  <si>
    <t>Оплата Tilda на 1 год для работы лендинга</t>
  </si>
  <si>
    <t>Стоковые материалы и шрифты</t>
  </si>
  <si>
    <t>Лицензии на шрифты или иконки для дизайн-системы</t>
  </si>
  <si>
    <t>Услуги верстальщика/копирайтера</t>
  </si>
  <si>
    <t>Разовая помощь (фриланс) для сборки макетов нашего дизайнера в рабочий код/Тильду</t>
  </si>
  <si>
    <t>Контент-маркетинг</t>
  </si>
  <si>
    <t>Аккаунты на Хабр/VC, оплата профильным авторам и редакторам для создания экспертных статей и кейсов.</t>
  </si>
  <si>
    <t>Инструменты для холодного аутрича</t>
  </si>
  <si>
    <t>Оплата Premium-аккаунтов LinkedIn, парсеров и специализированных баз для прямых продаж CTO и HRD.</t>
  </si>
  <si>
    <t>Производство промо-материалов</t>
  </si>
  <si>
    <t>Бюджет на поддержку дизайна, верстку сложных кейсов, презентаций и спецпроектов.</t>
  </si>
  <si>
    <t>Спонсорство и митапы</t>
  </si>
  <si>
    <t>Спонсорское участие в локальных IT-митапах, подготовка к профильным конференциям (Highload и др.) как HR-партнеры.</t>
  </si>
  <si>
    <t>Договор на подбор (с депозитом)</t>
  </si>
  <si>
    <t>Услуги юриста-фрилансера для составления кастомного договора (чтобы депозит 30% был невозвратным)</t>
  </si>
  <si>
    <t>Соглашение о неразглашении (NDA)</t>
  </si>
  <si>
    <t>Шаблон для работы с клиентами и кандидатами</t>
  </si>
  <si>
    <t>Соглашение об уровне сервиса (SLA)</t>
  </si>
  <si>
    <t>Юридическое оформление сроков и гарантий замены кандидата (3 месяца)</t>
  </si>
  <si>
    <t>Консультационные услуги (ФЗ-116)</t>
  </si>
  <si>
    <t>Оплата юристам/консультантам за правильное оформление документов для Минцифры (ускоряет процесс)</t>
  </si>
  <si>
    <t>ЭЦП (Электронная подпись)</t>
  </si>
  <si>
    <t>Покупка токена и выпуск усиленной квалифицированной подписи руководителя</t>
  </si>
  <si>
    <t>Аккредитация даст нам льготы по налогам и отсрочки сотрудникам в будущем</t>
  </si>
  <si>
    <t>Буфер на маркетинг</t>
  </si>
  <si>
    <t>На случай, если первые связки не сработают и потребуется доп. тестирование</t>
  </si>
  <si>
    <t>Колебания цен на сервисы</t>
  </si>
  <si>
    <t>Страховка от повышения тарифов на Хантфлоу, hh.ru и оплату зарубежных сервисов</t>
  </si>
  <si>
    <t>Мелкие операционные расходы</t>
  </si>
  <si>
    <t>Корпоративная почта, связь, облачные хранилища (Яндекс 360 - 3 месяца - 6 сотрудников Самый топ тариф)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</si>
</sst>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Михаил Швец" id="{5c059f07-a082-4ad6-84e8-7e957f39be0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" dT="2026-05-21T00:26:25.00" personId="{5c059f07-a082-4ad6-84e8-7e957f39be09}" id="{78fe6a5c-7890-4aac-b486-9797a77e55f0}" done="0">
    <x18tc:text xml:space="preserve">https://www.tbank.ru/business/account/?dco_ic=e1622795-9e24-4599-85c8-1c80c8d968aa&amp;utm_medium=ptr.act&amp;utm_campaign=sme.partners&amp;agentId=6-100SYES1N&amp;agentSsoId=83b7fe2c-f881-4731-b2be-0ad1b4925f0a&amp;utm_source=partner_rko_a_sme&amp;etext=2202.AIX8WE5nVizOupuAb-mQo0uhePyqZTAulHRHsFqjTNF3YXVpa2FlZmtqbWtsd3Nl.2f7f304bdfa35801f3658c06adb07a94472c8e9e&amp;yclid=8315534102060859391</x18tc:text>
    <x18tc:extLst>
      <ext uri="{F7C98A9C-CBB3-438F-8F68-D28B6AF4A901}">
        <xltc2:checksum/>
        <xltc2:hyperlink startIndex="0" length="367" url="https://www.tbank.ru/business/account/?dco_ic=e1622795-9e24-4599-85c8-1c80c8d968aa&amp;utm_medium=ptr.act&amp;utm_campaign=sme.partners&amp;agentId=6-100SYES1N&amp;agentSsoId=83b7fe2c-f881-4731-b2be-0ad1b4925f0a&amp;utm_source=partner_rko_a_sme&amp;etext=2202.AIX8WE5nVizOupuAb-mQo0uhePyqZTAulHRHsFqjTNF3YXVpa2FlZmtqbWtsd3Nl.2f7f304bdfa35801f3658c06adb07a94472c8e9e&amp;yclid=8315534102060859391"/>
      </ext>
    </x18tc:extLst>
  </x18tc:threadedComment>
  <x18tc:threadedComment ref="C5" dT="2026-05-21T00:16:14.00" personId="{5c059f07-a082-4ad6-84e8-7e957f39be09}" id="{c93d15ec-1609-4158-9c93-b2e62a9e352a}" done="0">
    <x18tc:text xml:space="preserve">https://pechati.ru/contacts/новослободская/</x18tc:text>
    <x18tc:extLst>
      <ext uri="{F7C98A9C-CBB3-438F-8F68-D28B6AF4A901}">
        <xltc2:checksum/>
        <xltc2:hyperlink startIndex="0" length="43" url="https://pechati.ru/contacts/новослободская/"/>
      </ext>
    </x18tc:extLst>
  </x18tc:threadedComment>
  <x18tc:threadedComment ref="C6" dT="2026-05-21T00:04:10.00" personId="{5c059f07-a082-4ad6-84e8-7e957f39be09}" id="{5d669c31-6617-44a6-89e3-83fa77608359}" done="0">
    <x18tc:text xml:space="preserve">https://e-kontur.ru/prices</x18tc:text>
    <x18tc:extLst>
      <ext uri="{F7C98A9C-CBB3-438F-8F68-D28B6AF4A901}">
        <xltc2:checksum/>
        <xltc2:hyperlink startIndex="0" length="26" url="https://e-kontur.ru/prices"/>
      </ext>
    </x18tc:extLst>
  </x18tc:threadedComment>
  <x18tc:threadedComment ref="C2" dT="2026-05-21T00:15:54.00" personId="{5c059f07-a082-4ad6-84e8-7e957f39be09}" id="{06437fd4-9ea6-4efb-a40d-494ca198bdce}" done="0">
    <x18tc:text xml:space="preserve">https://www.nalog.gov.ru/rn77/yul/interest/reg_yl/</x18tc:text>
    <x18tc:extLst>
      <ext uri="{F7C98A9C-CBB3-438F-8F68-D28B6AF4A901}">
        <xltc2:checksum/>
        <xltc2:hyperlink startIndex="0" length="50" url="https://www.nalog.gov.ru/rn77/yul/interest/reg_yl/"/>
      </ext>
    </x18tc:extLst>
  </x18tc:threadedComment>
  <x18tc:threadedComment ref="C3" dT="2026-05-21T00:15:38.00" personId="{5c059f07-a082-4ad6-84e8-7e957f39be09}" id="{3d7a33fd-2973-482c-beff-8e1a3874cfb4}" done="0">
    <x18tc:text xml:space="preserve">https://notariat.ru/ru-ru/actions-and-tariffs/</x18tc:text>
    <x18tc:extLst>
      <ext uri="{F7C98A9C-CBB3-438F-8F68-D28B6AF4A901}">
        <xltc2:checksum/>
        <xltc2:hyperlink startIndex="0" length="46" url="https://notariat.ru/ru-ru/actions-and-tariffs/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6-05-20T23:58:10.00" personId="{5c059f07-a082-4ad6-84e8-7e957f39be09}" id="{1211a71d-c13a-4f6d-a0ec-677a754efcad}" done="0">
    <x18tc:text xml:space="preserve">https://voronezh.hh.ru/article/cvbase</x18tc:text>
    <x18tc:extLst>
      <ext uri="{F7C98A9C-CBB3-438F-8F68-D28B6AF4A901}">
        <xltc2:checksum/>
        <xltc2:hyperlink startIndex="0" length="37" url="https://voronezh.hh.ru/article/cvbase"/>
      </ext>
    </x18tc:extLst>
  </x18tc:threadedComment>
  <x18tc:threadedComment ref="C3" dT="2026-05-21T00:01:52.00" personId="{5c059f07-a082-4ad6-84e8-7e957f39be09}" id="{1a1a38cd-e079-4919-ad60-5d243e556c79}" done="0">
    <x18tc:text xml:space="preserve">https://career.habr.com/price?vat=22</x18tc:text>
    <x18tc:extLst>
      <ext uri="{F7C98A9C-CBB3-438F-8F68-D28B6AF4A901}">
        <xltc2:checksum/>
        <xltc2:hyperlink startIndex="0" length="36" url="https://career.habr.com/price?vat=22"/>
      </ext>
    </x18tc:extLs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6-05-20T23:57:09.00" personId="{5c059f07-a082-4ad6-84e8-7e957f39be09}" id="{85735eee-fb99-4c97-9ca9-9ac84760de97}" done="0">
    <x18tc:text xml:space="preserve">https://huntflow.ru/price</x18tc:text>
    <x18tc:extLst>
      <ext uri="{F7C98A9C-CBB3-438F-8F68-D28B6AF4A901}">
        <xltc2:checksum/>
        <xltc2:hyperlink startIndex="0" length="25" url="https://huntflow.ru/price"/>
      </ext>
    </x18tc:extLs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6-05-21T00:09:39.00" personId="{5c059f07-a082-4ad6-84e8-7e957f39be09}" id="{ca96e5d5-7ec3-424c-944c-b40c46a96609}" done="0">
    <x18tc:text xml:space="preserve">https://timeweb.com/ru/services/domains/?utm_source=yandex&amp;utm_medium=cpc&amp;utm_campaign=708626955&amp;utm_content=17676997750&amp;utm_term=---autotargeting&amp;etext=&amp;yclid=1610822619961491455</x18tc:text>
    <x18tc:extLst>
      <ext uri="{F7C98A9C-CBB3-438F-8F68-D28B6AF4A901}">
        <xltc2:checksum/>
        <xltc2:hyperlink startIndex="0" length="179" url="https://timeweb.com/ru/services/domains/?utm_source=yandex&amp;utm_medium=cpc&amp;utm_campaign=708626955&amp;utm_content=17676997750&amp;utm_term=---autotargeting&amp;etext=&amp;yclid=1610822619961491455"/>
      </ext>
    </x18tc:extLst>
  </x18tc:threadedComment>
  <x18tc:threadedComment ref="C3" dT="2026-05-21T00:10:27.00" personId="{5c059f07-a082-4ad6-84e8-7e957f39be09}" id="{ab30c9a1-2c7e-4c6f-9190-fba180c1695c}" done="0">
    <x18tc:text xml:space="preserve">https://tilda.cc/ru/pricing/</x18tc:text>
    <x18tc:extLst>
      <ext uri="{F7C98A9C-CBB3-438F-8F68-D28B6AF4A901}">
        <xltc2:checksum/>
        <xltc2:hyperlink startIndex="0" length="28" url="https://tilda.cc/ru/pricing/"/>
      </ext>
    </x18tc:extLst>
  </x18tc:threadedComment>
  <x18tc:threadedComment ref="C5" dT="2026-05-21T00:15:13.00" personId="{5c059f07-a082-4ad6-84e8-7e957f39be09}" id="{b14fc11e-3692-4443-8ee6-09c1196c3a7b}" done="0">
    <x18tc:text xml:space="preserve">https://www.fl.ru/</x18tc:text>
    <x18tc:extLst>
      <ext uri="{F7C98A9C-CBB3-438F-8F68-D28B6AF4A901}">
        <xltc2:checksum/>
        <xltc2:hyperlink startIndex="0" length="18" url="https://www.fl.ru/"/>
      </ext>
    </x18tc:extLst>
  </x18tc:threadedComment>
  <x18tc:threadedComment ref="C4" dT="2026-05-21T00:14:43.00" personId="{5c059f07-a082-4ad6-84e8-7e957f39be09}" id="{ee5ea035-06bc-490c-b10e-1a566094c92a}" done="0">
    <x18tc:text xml:space="preserve">https://typetype.ru/
https://www.magnific.com/pricing</x18tc:text>
    <x18tc:extLst>
      <ext uri="{F7C98A9C-CBB3-438F-8F68-D28B6AF4A901}">
        <xltc2:checksum/>
        <xltc2:hyperlink startIndex="0" length="20" url="https://typetype.ru/"/>
        <xltc2:hyperlink startIndex="21" length="32" url="https://www.magnific.com/pricing"/>
      </ext>
    </x18tc:extLs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6-05-21T00:18:18.00" personId="{5c059f07-a082-4ad6-84e8-7e957f39be09}" id="{67a70d32-4b01-4350-b479-7e290ed3bf0b}" done="0">
    <x18tc:text xml:space="preserve">https://pravoved.ru/</x18tc:text>
    <x18tc:extLst>
      <ext uri="{F7C98A9C-CBB3-438F-8F68-D28B6AF4A901}">
        <xltc2:checksum/>
        <xltc2:hyperlink startIndex="0" length="20" url="https://pravoved.ru/"/>
      </ext>
    </x18tc:extLst>
  </x18tc:threadedComment>
  <x18tc:threadedComment ref="C4" dT="2026-05-21T00:18:48.00" personId="{5c059f07-a082-4ad6-84e8-7e957f39be09}" id="{0b9e9544-e1f4-45dd-86bb-07ba17ae8497}" done="0">
    <x18tc:text xml:space="preserve">https://www.google.com/url?q=https://profi.ru/juristy&amp;sa=D&amp;source=editors&amp;ust=1779326323137071&amp;usg=AOvVaw3TNgVwxLjG3fuxeFb3VAEq</x18tc:text>
    <x18tc:extLst>
      <ext uri="{F7C98A9C-CBB3-438F-8F68-D28B6AF4A901}">
        <xltc2:checksum/>
        <xltc2:hyperlink startIndex="0" length="127" url="https://www.google.com/url?q=https://profi.ru/juristy&amp;sa=D&amp;source=editors&amp;ust=1779326323137071&amp;usg=AOvVaw3TNgVwxLjG3fuxeFb3VAEq"/>
      </ext>
    </x18tc:extLst>
  </x18tc:threadedComment>
  <x18tc:threadedComment ref="C3" dT="2026-05-21T00:18:30.00" personId="{5c059f07-a082-4ad6-84e8-7e957f39be09}" id="{5d4d6983-9867-4631-900b-c864b41c4ed4}" done="0">
    <x18tc:text xml:space="preserve">https://profi.ru/juristy</x18tc:text>
    <x18tc:extLst>
      <ext uri="{F7C98A9C-CBB3-438F-8F68-D28B6AF4A901}">
        <xltc2:checksum/>
        <xltc2:hyperlink startIndex="0" length="24" url="https://profi.ru/juristy"/>
      </ext>
    </x18tc:extLs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6-05-21T00:21:57.00" personId="{5c059f07-a082-4ad6-84e8-7e957f39be09}" id="{0b79dccb-4972-4786-8ba1-3d83d8ec6f76}" done="0">
    <x18tc:text xml:space="preserve">https://sber-solutions.ru/</x18tc:text>
    <x18tc:extLst>
      <ext uri="{F7C98A9C-CBB3-438F-8F68-D28B6AF4A901}">
        <xltc2:checksum/>
        <xltc2:hyperlink startIndex="0" length="26" url="https://sber-solutions.ru/"/>
      </ext>
    </x18tc:extLst>
  </x18tc:threadedComment>
  <x18tc:threadedComment ref="C3" dT="2026-05-21T00:22:06.00" personId="{5c059f07-a082-4ad6-84e8-7e957f39be09}" id="{51ac040a-8799-4137-b601-facaa1668643}" done="0">
    <x18tc:text xml:space="preserve">https://kontur.ru/ca</x18tc:text>
    <x18tc:extLst>
      <ext uri="{F7C98A9C-CBB3-438F-8F68-D28B6AF4A901}">
        <xltc2:checksum/>
        <xltc2:hyperlink startIndex="0" length="20" url="https://kontur.ru/ca"/>
      </ext>
    </x18tc:extLs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" dT="2026-05-21T00:22:30.00" personId="{5c059f07-a082-4ad6-84e8-7e957f39be09}" id="{f57563ae-bea2-46f7-b6a4-5cba567f91a5}" done="0">
    <x18tc:text xml:space="preserve">https://360.yandex.ru/business/tariff/</x18tc:text>
    <x18tc:extLst>
      <ext uri="{F7C98A9C-CBB3-438F-8F68-D28B6AF4A901}">
        <xltc2:checksum/>
        <xltc2:hyperlink startIndex="0" length="38" url="https://360.yandex.ru/business/tariff/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8.75"/>
  </cols>
  <sheetData>
    <row r="1">
      <c r="A1" s="1" t="s">
        <v>0</v>
      </c>
      <c r="B1" s="1" t="s">
        <v>1</v>
      </c>
    </row>
    <row r="2">
      <c r="A2" s="1" t="s">
        <v>2</v>
      </c>
      <c r="B2" s="2">
        <f>'Регистрация ООО'!B7</f>
        <v>47900</v>
      </c>
    </row>
    <row r="3">
      <c r="A3" s="1" t="s">
        <v>3</v>
      </c>
      <c r="B3" s="2">
        <f>'Подписки'!B4</f>
        <v>220000</v>
      </c>
    </row>
    <row r="4">
      <c r="A4" s="1" t="s">
        <v>4</v>
      </c>
      <c r="B4" s="2">
        <f>'ATS huntflow'!B3</f>
        <v>37500</v>
      </c>
    </row>
    <row r="5">
      <c r="A5" s="1" t="s">
        <v>5</v>
      </c>
      <c r="B5" s="2">
        <f>'Инфра'!B6</f>
        <v>60000</v>
      </c>
    </row>
    <row r="6">
      <c r="A6" s="1" t="s">
        <v>6</v>
      </c>
      <c r="B6" s="2">
        <f>'Маркетинг'!B6</f>
        <v>250000</v>
      </c>
    </row>
    <row r="7">
      <c r="A7" s="1" t="s">
        <v>7</v>
      </c>
      <c r="B7" s="2">
        <f>'Юридич. услуги'!B5</f>
        <v>40000</v>
      </c>
    </row>
    <row r="8">
      <c r="A8" s="1" t="s">
        <v>8</v>
      </c>
      <c r="B8" s="2">
        <f>'Аккредитация'!B4</f>
        <v>30000</v>
      </c>
    </row>
    <row r="9">
      <c r="A9" s="1" t="s">
        <v>9</v>
      </c>
      <c r="B9" s="2">
        <f>'Резерв'!B5</f>
        <v>105200</v>
      </c>
    </row>
    <row r="10">
      <c r="A10" s="3" t="s">
        <v>10</v>
      </c>
      <c r="B10" s="3">
        <v>800000.0</v>
      </c>
    </row>
    <row r="11">
      <c r="A11" s="1" t="s">
        <v>11</v>
      </c>
      <c r="B11" s="1">
        <f>SUM(B2:B9)</f>
        <v>790600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8.75"/>
    <col customWidth="1" min="3" max="3" width="73.5"/>
  </cols>
  <sheetData>
    <row r="1">
      <c r="A1" s="1" t="s">
        <v>0</v>
      </c>
      <c r="B1" s="1" t="s">
        <v>1</v>
      </c>
      <c r="C1" s="1" t="s">
        <v>12</v>
      </c>
    </row>
    <row r="2">
      <c r="A2" s="1" t="s">
        <v>13</v>
      </c>
      <c r="B2" s="2">
        <v>4000.0</v>
      </c>
      <c r="C2" s="1" t="s">
        <v>14</v>
      </c>
    </row>
    <row r="3">
      <c r="A3" s="1" t="s">
        <v>15</v>
      </c>
      <c r="B3" s="2">
        <v>15000.0</v>
      </c>
      <c r="C3" s="1" t="s">
        <v>16</v>
      </c>
    </row>
    <row r="4">
      <c r="A4" s="1" t="s">
        <v>17</v>
      </c>
      <c r="B4" s="2">
        <v>5000.0</v>
      </c>
      <c r="C4" s="2" t="s">
        <v>18</v>
      </c>
    </row>
    <row r="5">
      <c r="A5" s="1" t="s">
        <v>19</v>
      </c>
      <c r="B5" s="2">
        <v>2000.0</v>
      </c>
      <c r="C5" s="1" t="s">
        <v>20</v>
      </c>
    </row>
    <row r="6">
      <c r="A6" s="1" t="s">
        <v>21</v>
      </c>
      <c r="B6" s="2">
        <v>21900.0</v>
      </c>
      <c r="C6" s="2" t="s">
        <v>22</v>
      </c>
    </row>
    <row r="7">
      <c r="A7" s="1" t="s">
        <v>11</v>
      </c>
      <c r="B7" s="2">
        <f>SUM(B2:B6)</f>
        <v>47900</v>
      </c>
      <c r="C7" s="1"/>
    </row>
    <row r="17">
      <c r="C17" s="3" t="s">
        <v>23</v>
      </c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8.75"/>
    <col customWidth="1" min="3" max="3" width="64.0"/>
  </cols>
  <sheetData>
    <row r="1">
      <c r="A1" s="1" t="s">
        <v>0</v>
      </c>
      <c r="B1" s="1" t="s">
        <v>1</v>
      </c>
      <c r="C1" s="1" t="s">
        <v>12</v>
      </c>
    </row>
    <row r="2">
      <c r="A2" s="1" t="s">
        <v>24</v>
      </c>
      <c r="B2" s="2">
        <v>100000.0</v>
      </c>
      <c r="C2" s="1" t="s">
        <v>25</v>
      </c>
    </row>
    <row r="3">
      <c r="A3" s="1" t="s">
        <v>26</v>
      </c>
      <c r="B3" s="2">
        <v>120000.0</v>
      </c>
      <c r="C3" s="2" t="s">
        <v>27</v>
      </c>
    </row>
    <row r="4">
      <c r="A4" s="1" t="s">
        <v>11</v>
      </c>
      <c r="B4" s="2">
        <f>SUM(B2:B3)</f>
        <v>220000</v>
      </c>
      <c r="C4" s="1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8.75"/>
    <col customWidth="1" min="3" max="3" width="75.25"/>
    <col customWidth="1" min="4" max="4" width="30.0"/>
  </cols>
  <sheetData>
    <row r="1">
      <c r="A1" s="1" t="s">
        <v>0</v>
      </c>
      <c r="B1" s="1" t="s">
        <v>1</v>
      </c>
      <c r="C1" s="1" t="s">
        <v>12</v>
      </c>
    </row>
    <row r="2">
      <c r="A2" s="1" t="s">
        <v>28</v>
      </c>
      <c r="B2" s="2">
        <f>6250 * 6</f>
        <v>37500</v>
      </c>
      <c r="C2" s="2" t="s">
        <v>29</v>
      </c>
    </row>
    <row r="3">
      <c r="A3" s="1" t="s">
        <v>11</v>
      </c>
      <c r="B3" s="1">
        <f>B2</f>
        <v>37500</v>
      </c>
      <c r="C3" s="1" t="s">
        <v>30</v>
      </c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8.75"/>
    <col customWidth="1" min="3" max="3" width="70.25"/>
  </cols>
  <sheetData>
    <row r="1">
      <c r="A1" s="1" t="s">
        <v>0</v>
      </c>
      <c r="B1" s="1" t="s">
        <v>1</v>
      </c>
      <c r="C1" s="1" t="s">
        <v>12</v>
      </c>
    </row>
    <row r="2">
      <c r="A2" s="1" t="s">
        <v>31</v>
      </c>
      <c r="B2" s="2">
        <v>2000.0</v>
      </c>
      <c r="C2" s="2" t="s">
        <v>32</v>
      </c>
    </row>
    <row r="3">
      <c r="A3" s="1" t="s">
        <v>33</v>
      </c>
      <c r="B3" s="2">
        <v>15000.0</v>
      </c>
      <c r="C3" s="2" t="s">
        <v>34</v>
      </c>
    </row>
    <row r="4">
      <c r="A4" s="1" t="s">
        <v>35</v>
      </c>
      <c r="B4" s="2">
        <v>8000.0</v>
      </c>
      <c r="C4" s="1" t="s">
        <v>36</v>
      </c>
    </row>
    <row r="5">
      <c r="A5" s="1" t="s">
        <v>37</v>
      </c>
      <c r="B5" s="2">
        <v>35000.0</v>
      </c>
      <c r="C5" s="1" t="s">
        <v>38</v>
      </c>
    </row>
    <row r="6">
      <c r="A6" s="1" t="s">
        <v>11</v>
      </c>
      <c r="B6" s="2">
        <f>SUM(B2:B5)</f>
        <v>60000</v>
      </c>
      <c r="C6" s="1"/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.75"/>
    <col customWidth="1" min="3" max="3" width="96.5"/>
  </cols>
  <sheetData>
    <row r="1">
      <c r="A1" s="1" t="s">
        <v>0</v>
      </c>
      <c r="B1" s="1" t="s">
        <v>1</v>
      </c>
      <c r="C1" s="1" t="s">
        <v>12</v>
      </c>
    </row>
    <row r="2">
      <c r="A2" s="1" t="s">
        <v>39</v>
      </c>
      <c r="B2" s="2">
        <v>110000.0</v>
      </c>
      <c r="C2" s="1" t="s">
        <v>40</v>
      </c>
    </row>
    <row r="3">
      <c r="A3" s="1" t="s">
        <v>41</v>
      </c>
      <c r="B3" s="2">
        <v>40000.0</v>
      </c>
      <c r="C3" s="1" t="s">
        <v>42</v>
      </c>
    </row>
    <row r="4">
      <c r="A4" s="1" t="s">
        <v>43</v>
      </c>
      <c r="B4" s="2">
        <v>40000.0</v>
      </c>
      <c r="C4" s="4" t="s">
        <v>44</v>
      </c>
    </row>
    <row r="5">
      <c r="A5" s="1" t="s">
        <v>45</v>
      </c>
      <c r="B5" s="2">
        <v>60000.0</v>
      </c>
      <c r="C5" s="1" t="s">
        <v>46</v>
      </c>
    </row>
    <row r="6">
      <c r="A6" s="1" t="s">
        <v>11</v>
      </c>
      <c r="B6" s="2">
        <f>SUM(B2:B5)</f>
        <v>250000</v>
      </c>
      <c r="C6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8.75"/>
    <col customWidth="1" min="3" max="3" width="84.5"/>
  </cols>
  <sheetData>
    <row r="1">
      <c r="A1" s="1" t="s">
        <v>0</v>
      </c>
      <c r="B1" s="1" t="s">
        <v>1</v>
      </c>
      <c r="C1" s="1" t="s">
        <v>12</v>
      </c>
    </row>
    <row r="2">
      <c r="A2" s="1" t="s">
        <v>47</v>
      </c>
      <c r="B2" s="2">
        <v>20000.0</v>
      </c>
      <c r="C2" s="1" t="s">
        <v>48</v>
      </c>
    </row>
    <row r="3">
      <c r="A3" s="1" t="s">
        <v>49</v>
      </c>
      <c r="B3" s="2">
        <v>10000.0</v>
      </c>
      <c r="C3" s="1" t="s">
        <v>50</v>
      </c>
    </row>
    <row r="4">
      <c r="A4" s="1" t="s">
        <v>51</v>
      </c>
      <c r="B4" s="2">
        <v>10000.0</v>
      </c>
      <c r="C4" s="1" t="s">
        <v>52</v>
      </c>
    </row>
    <row r="5">
      <c r="A5" s="1" t="s">
        <v>11</v>
      </c>
      <c r="B5" s="2">
        <f>SUM(B2:B4)</f>
        <v>40000</v>
      </c>
      <c r="C5" s="1"/>
    </row>
  </sheetData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8.75"/>
    <col customWidth="1" min="3" max="3" width="85.0"/>
  </cols>
  <sheetData>
    <row r="1">
      <c r="A1" s="1" t="s">
        <v>0</v>
      </c>
      <c r="B1" s="1" t="s">
        <v>1</v>
      </c>
      <c r="C1" s="1" t="s">
        <v>12</v>
      </c>
    </row>
    <row r="2">
      <c r="A2" s="1" t="s">
        <v>53</v>
      </c>
      <c r="B2" s="2">
        <v>25000.0</v>
      </c>
      <c r="C2" s="1" t="s">
        <v>54</v>
      </c>
    </row>
    <row r="3">
      <c r="A3" s="1" t="s">
        <v>55</v>
      </c>
      <c r="B3" s="2">
        <v>5000.0</v>
      </c>
      <c r="C3" s="1" t="s">
        <v>56</v>
      </c>
    </row>
    <row r="4">
      <c r="A4" s="1" t="s">
        <v>11</v>
      </c>
      <c r="B4" s="2">
        <f>SUM(B2:B3)</f>
        <v>30000</v>
      </c>
      <c r="C4" s="1" t="s">
        <v>57</v>
      </c>
    </row>
  </sheetData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8.75"/>
    <col customWidth="1" min="3" max="3" width="67.5"/>
  </cols>
  <sheetData>
    <row r="1">
      <c r="A1" s="1" t="s">
        <v>0</v>
      </c>
      <c r="B1" s="1" t="s">
        <v>1</v>
      </c>
      <c r="C1" s="1" t="s">
        <v>12</v>
      </c>
    </row>
    <row r="2">
      <c r="A2" s="1" t="s">
        <v>58</v>
      </c>
      <c r="B2" s="2">
        <v>50000.0</v>
      </c>
      <c r="C2" s="1" t="s">
        <v>59</v>
      </c>
    </row>
    <row r="3">
      <c r="A3" s="1" t="s">
        <v>60</v>
      </c>
      <c r="B3" s="2">
        <v>30000.0</v>
      </c>
      <c r="C3" s="1" t="s">
        <v>61</v>
      </c>
    </row>
    <row r="4">
      <c r="A4" s="1" t="s">
        <v>62</v>
      </c>
      <c r="B4" s="2">
        <f>1400*6*3</f>
        <v>25200</v>
      </c>
      <c r="C4" s="2" t="s">
        <v>63</v>
      </c>
    </row>
    <row r="5">
      <c r="A5" s="1" t="s">
        <v>11</v>
      </c>
      <c r="B5" s="2">
        <f>SUM(B2:B4)</f>
        <v>105200</v>
      </c>
      <c r="C5" s="1"/>
    </row>
  </sheetData>
  <drawing r:id="rId4"/>
  <legacyDrawing r:id="rId5"/>
</worksheet>
</file>