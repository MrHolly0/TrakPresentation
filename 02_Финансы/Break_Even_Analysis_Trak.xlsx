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чет ТБУ" sheetId="1" r:id="rId5"/>
    <sheet state="visible" name="График ТБУ" sheetId="2" r:id="rId6"/>
  </sheets>
  <definedNames/>
  <calcPr/>
</workbook>
</file>

<file path=xl/sharedStrings.xml><?xml version="1.0" encoding="utf-8"?>
<sst xmlns="http://schemas.openxmlformats.org/spreadsheetml/2006/main" count="39" uniqueCount="39">
  <si>
    <t>АНАЛИЗ ТОЧКИ БЕЗУБЫТОЧНОСТИ (BREAK-EVEN ANALYSIS)</t>
  </si>
  <si>
    <t>Кадровое агентство «track» • Расчеты на месяц (начиная с 4-го месяца)</t>
  </si>
  <si>
    <t>1. Ежемесячные постоянные расходы агентства (Фикс)</t>
  </si>
  <si>
    <t>Статья постоянных расходов</t>
  </si>
  <si>
    <t>Сумма в месяц (₽)</t>
  </si>
  <si>
    <t>Обоснование</t>
  </si>
  <si>
    <t>ФОТ базовый (фикс на 6 человек команды)</t>
  </si>
  <si>
    <t>Обеспечение базовой жизнедеятельности команды основателей</t>
  </si>
  <si>
    <t>Подписки на базы резюме (hh.ru, Хабр, GetMatch)</t>
  </si>
  <si>
    <t>Усредненная стоимость ежемесячного продления доступов</t>
  </si>
  <si>
    <t>Лицензии CRM/ATS Хантфлоу</t>
  </si>
  <si>
    <t>6 пользователей (37 500 ₽ за 3 месяца согласно тарифу)</t>
  </si>
  <si>
    <t>Маркетинг, реклама и лидогенерация</t>
  </si>
  <si>
    <t>Ежемесячный бюджет на поддержание входящего потока клиентов</t>
  </si>
  <si>
    <t>Административные расходы и инфраструктура</t>
  </si>
  <si>
    <t>Корпоративная связь, сервисы Яндекс 360, банковское РКО</t>
  </si>
  <si>
    <t>ИТОГО ПОСТОЯННЫХ РАСХОДОВ (месяц)</t>
  </si>
  <si>
    <t>2. Маржинальный доход по направлениям (из Юнит-экономики)</t>
  </si>
  <si>
    <t>Направление подбора (Senior)</t>
  </si>
  <si>
    <t>Гонорар (Выручка)</t>
  </si>
  <si>
    <t>Переменные расходы</t>
  </si>
  <si>
    <t>Маржа со сделки</t>
  </si>
  <si>
    <t>Информационная безопасность</t>
  </si>
  <si>
    <t>Базы данных (DBA PostgreSQL)</t>
  </si>
  <si>
    <t>Разработчики 1С</t>
  </si>
  <si>
    <t>ML/AI инженеры</t>
  </si>
  <si>
    <t>DevOps/SRE</t>
  </si>
  <si>
    <t>СРЕДНЕЕ ЗНАЧЕНИЕ ПО АГЕНТСТВУ</t>
  </si>
  <si>
    <t>3. Итоговый расчет точки безубыточности (ТБУ)</t>
  </si>
  <si>
    <t>Постоянные расходы в месяц (Пост. Расходы):</t>
  </si>
  <si>
    <t>Средняя маржинальная прибыль со сделки (Маржа):</t>
  </si>
  <si>
    <t>ТОЧКА БЕЗУБЫТОЧНОСТИ (сделок в месяц):</t>
  </si>
  <si>
    <t>Примечание для защиты: Для флагманской ниши (ИБ) с маржой 542 000 ₽ точка безубыточности составляет ровно 1.50 сделок.</t>
  </si>
  <si>
    <t>Модель зависимости финансового результата от объема продаж</t>
  </si>
  <si>
    <t>Кол-во сделок</t>
  </si>
  <si>
    <t>Постоянные расходы</t>
  </si>
  <si>
    <t>Полные расходы (Пост + Перем)</t>
  </si>
  <si>
    <t>Совокупная Выручка</t>
  </si>
  <si>
    <t>Чистая Прибыль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</si>
</sst>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₽&quot;"/>
  </numFmts>
  <fonts count="10">
    <font>
      <sz val="11.0"/>
      <color theme="1"/>
      <name val="Calibri"/>
      <scheme val="minor"/>
    </font>
    <font>
      <b/>
      <sz val="16.0"/>
      <color rgb="FF2C3E50"/>
      <name val="Arial"/>
    </font>
    <font>
      <i/>
      <sz val="10.0"/>
      <color rgb="FF566573"/>
      <name val="Arial"/>
    </font>
    <font>
      <b/>
      <sz val="12.0"/>
      <color rgb="FF2C3E50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B91C1C"/>
      <name val="Arial"/>
    </font>
    <font>
      <b/>
      <sz val="12.0"/>
      <color rgb="FFB91C1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EAEDED"/>
        <bgColor rgb="FFEAEDED"/>
      </patternFill>
    </fill>
    <fill>
      <patternFill patternType="solid">
        <fgColor rgb="FFFFF2CC"/>
        <bgColor rgb="FFFFF2CC"/>
      </patternFill>
    </fill>
  </fills>
  <borders count="6">
    <border/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double">
        <color rgb="FF2C3E50"/>
      </bottom>
    </border>
    <border>
      <bottom style="thin">
        <color rgb="FFB91C1C"/>
      </bottom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2" fillId="0" fontId="5" numFmtId="164" xfId="0" applyAlignment="1" applyBorder="1" applyFont="1" applyNumberFormat="1">
      <alignment horizontal="right"/>
    </xf>
    <xf borderId="2" fillId="3" fontId="5" numFmtId="0" xfId="0" applyBorder="1" applyFill="1" applyFont="1"/>
    <xf borderId="2" fillId="3" fontId="5" numFmtId="164" xfId="0" applyAlignment="1" applyBorder="1" applyFont="1" applyNumberFormat="1">
      <alignment horizontal="right"/>
    </xf>
    <xf borderId="3" fillId="4" fontId="6" numFmtId="0" xfId="0" applyBorder="1" applyFill="1" applyFont="1"/>
    <xf borderId="3" fillId="4" fontId="6" numFmtId="164" xfId="0" applyAlignment="1" applyBorder="1" applyFont="1" applyNumberFormat="1">
      <alignment horizontal="right"/>
    </xf>
    <xf borderId="3" fillId="4" fontId="7" numFmtId="0" xfId="0" applyBorder="1" applyFont="1"/>
    <xf borderId="2" fillId="0" fontId="6" numFmtId="164" xfId="0" applyAlignment="1" applyBorder="1" applyFont="1" applyNumberFormat="1">
      <alignment horizontal="right"/>
    </xf>
    <xf borderId="2" fillId="3" fontId="6" numFmtId="164" xfId="0" applyAlignment="1" applyBorder="1" applyFont="1" applyNumberFormat="1">
      <alignment horizontal="right"/>
    </xf>
    <xf borderId="0" fillId="0" fontId="5" numFmtId="0" xfId="0" applyFont="1"/>
    <xf borderId="0" fillId="0" fontId="6" numFmtId="164" xfId="0" applyFont="1" applyNumberFormat="1"/>
    <xf borderId="4" fillId="0" fontId="8" numFmtId="0" xfId="0" applyBorder="1" applyFont="1"/>
    <xf borderId="5" fillId="5" fontId="9" numFmtId="4" xfId="0" applyAlignment="1" applyBorder="1" applyFill="1" applyFont="1" applyNumberFormat="1">
      <alignment horizontal="right"/>
    </xf>
    <xf borderId="0" fillId="0" fontId="2" numFmtId="0" xfId="0" applyFont="1"/>
    <xf borderId="2" fillId="0" fontId="5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График определения точки безубыточности кадрового агентства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 ТБУ'!$D$4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'График ТБУ'!$B$5:$B$13</c:f>
            </c:strRef>
          </c:cat>
          <c:val>
            <c:numRef>
              <c:f>'График ТБУ'!$D$5:$D$13</c:f>
              <c:numCache/>
            </c:numRef>
          </c:val>
          <c:smooth val="0"/>
        </c:ser>
        <c:ser>
          <c:idx val="1"/>
          <c:order val="1"/>
          <c:tx>
            <c:strRef>
              <c:f>'График ТБУ'!$E$4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'График ТБУ'!$B$5:$B$13</c:f>
            </c:strRef>
          </c:cat>
          <c:val>
            <c:numRef>
              <c:f>'График ТБУ'!$E$5:$E$13</c:f>
              <c:numCache/>
            </c:numRef>
          </c:val>
          <c:smooth val="0"/>
        </c:ser>
        <c:axId val="862167212"/>
        <c:axId val="1534641691"/>
      </c:lineChart>
      <c:catAx>
        <c:axId val="862167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Количество закрытых вакансий в 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641691"/>
      </c:catAx>
      <c:valAx>
        <c:axId val="1534641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Рубли (₽)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167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6838950" cy="39528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1.0"/>
    <col customWidth="1" min="3" max="3" width="20.0"/>
    <col customWidth="1" min="4" max="4" width="66.86"/>
    <col customWidth="1" min="5" max="5" width="20.0"/>
    <col customWidth="1" min="6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</row>
    <row r="6">
      <c r="B6" s="4" t="s">
        <v>3</v>
      </c>
      <c r="C6" s="4" t="s">
        <v>4</v>
      </c>
      <c r="D6" s="4" t="s">
        <v>5</v>
      </c>
    </row>
    <row r="7">
      <c r="B7" s="5" t="s">
        <v>6</v>
      </c>
      <c r="C7" s="6">
        <v>630000.0</v>
      </c>
      <c r="D7" s="5" t="s">
        <v>7</v>
      </c>
    </row>
    <row r="8">
      <c r="B8" s="7" t="s">
        <v>8</v>
      </c>
      <c r="C8" s="8">
        <v>60000.0</v>
      </c>
      <c r="D8" s="7" t="s">
        <v>9</v>
      </c>
    </row>
    <row r="9">
      <c r="B9" s="5" t="s">
        <v>10</v>
      </c>
      <c r="C9" s="6">
        <v>12500.0</v>
      </c>
      <c r="D9" s="5" t="s">
        <v>11</v>
      </c>
    </row>
    <row r="10">
      <c r="B10" s="7" t="s">
        <v>12</v>
      </c>
      <c r="C10" s="8">
        <v>85000.0</v>
      </c>
      <c r="D10" s="7" t="s">
        <v>13</v>
      </c>
    </row>
    <row r="11">
      <c r="B11" s="5" t="s">
        <v>14</v>
      </c>
      <c r="C11" s="6">
        <v>25500.0</v>
      </c>
      <c r="D11" s="5" t="s">
        <v>15</v>
      </c>
    </row>
    <row r="12">
      <c r="B12" s="9" t="s">
        <v>16</v>
      </c>
      <c r="C12" s="10">
        <f>SUM(C7:C11)</f>
        <v>813000</v>
      </c>
      <c r="D12" s="11"/>
    </row>
    <row r="15">
      <c r="B15" s="3" t="s">
        <v>17</v>
      </c>
    </row>
    <row r="16">
      <c r="B16" s="4" t="s">
        <v>18</v>
      </c>
      <c r="C16" s="4" t="s">
        <v>19</v>
      </c>
      <c r="D16" s="4" t="s">
        <v>20</v>
      </c>
      <c r="E16" s="4" t="s">
        <v>21</v>
      </c>
    </row>
    <row r="17">
      <c r="B17" s="5" t="s">
        <v>22</v>
      </c>
      <c r="C17" s="6">
        <v>840000.0</v>
      </c>
      <c r="D17" s="6">
        <v>298000.0</v>
      </c>
      <c r="E17" s="12">
        <f t="shared" ref="E17:E21" si="1">C17-D17</f>
        <v>542000</v>
      </c>
    </row>
    <row r="18">
      <c r="B18" s="7" t="s">
        <v>23</v>
      </c>
      <c r="C18" s="8">
        <v>768000.0</v>
      </c>
      <c r="D18" s="8">
        <v>287200.0</v>
      </c>
      <c r="E18" s="13">
        <f t="shared" si="1"/>
        <v>480800</v>
      </c>
    </row>
    <row r="19">
      <c r="B19" s="5" t="s">
        <v>24</v>
      </c>
      <c r="C19" s="6">
        <v>720000.0</v>
      </c>
      <c r="D19" s="6">
        <v>280000.0</v>
      </c>
      <c r="E19" s="12">
        <f t="shared" si="1"/>
        <v>440000</v>
      </c>
    </row>
    <row r="20">
      <c r="B20" s="7" t="s">
        <v>25</v>
      </c>
      <c r="C20" s="8">
        <v>960000.0</v>
      </c>
      <c r="D20" s="8">
        <v>324000.0</v>
      </c>
      <c r="E20" s="13">
        <f t="shared" si="1"/>
        <v>636000</v>
      </c>
    </row>
    <row r="21" ht="15.75" customHeight="1">
      <c r="B21" s="5" t="s">
        <v>26</v>
      </c>
      <c r="C21" s="6">
        <v>888000.0</v>
      </c>
      <c r="D21" s="6">
        <v>305200.0</v>
      </c>
      <c r="E21" s="12">
        <f t="shared" si="1"/>
        <v>582800</v>
      </c>
    </row>
    <row r="22" ht="15.75" customHeight="1">
      <c r="B22" s="9" t="s">
        <v>27</v>
      </c>
      <c r="C22" s="10">
        <f t="shared" ref="C22:E22" si="2">AVERAGE(C17:C21)</f>
        <v>835200</v>
      </c>
      <c r="D22" s="10">
        <f t="shared" si="2"/>
        <v>298880</v>
      </c>
      <c r="E22" s="10">
        <f t="shared" si="2"/>
        <v>536320</v>
      </c>
    </row>
    <row r="23" ht="15.75" customHeight="1"/>
    <row r="24" ht="15.75" customHeight="1"/>
    <row r="25" ht="15.75" customHeight="1">
      <c r="B25" s="3" t="s">
        <v>28</v>
      </c>
    </row>
    <row r="26" ht="15.75" customHeight="1"/>
    <row r="27" ht="15.75" customHeight="1">
      <c r="B27" s="14" t="s">
        <v>29</v>
      </c>
      <c r="C27" s="15">
        <f>C12</f>
        <v>813000</v>
      </c>
    </row>
    <row r="28" ht="15.75" customHeight="1">
      <c r="B28" s="14" t="s">
        <v>30</v>
      </c>
      <c r="C28" s="15">
        <f>E22</f>
        <v>536320</v>
      </c>
    </row>
    <row r="29" ht="15.75" customHeight="1"/>
    <row r="30" ht="15.75" customHeight="1">
      <c r="B30" s="16" t="s">
        <v>31</v>
      </c>
      <c r="C30" s="17">
        <f>C27/C28</f>
        <v>1.515886038</v>
      </c>
    </row>
    <row r="31" ht="15.75" customHeight="1"/>
    <row r="32" ht="15.75" customHeight="1">
      <c r="B32" s="18" t="s">
        <v>32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61.0"/>
    <col customWidth="1" min="3" max="3" width="22.0"/>
    <col customWidth="1" min="4" max="4" width="32.0"/>
    <col customWidth="1" min="5" max="5" width="26.0"/>
    <col customWidth="1" min="6" max="6" width="17.0"/>
    <col customWidth="1" min="7" max="26" width="8.71"/>
  </cols>
  <sheetData>
    <row r="2">
      <c r="B2" s="1" t="s">
        <v>33</v>
      </c>
    </row>
    <row r="4"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</row>
    <row r="5">
      <c r="B5" s="19">
        <v>0.0</v>
      </c>
      <c r="C5" s="6">
        <f>'Расчет ТБУ'!$C$12</f>
        <v>813000</v>
      </c>
      <c r="D5" s="6">
        <f>C5+(B5*'Расчет ТБУ'!$D$22)</f>
        <v>813000</v>
      </c>
      <c r="E5" s="6">
        <f>B5*'Расчет ТБУ'!$C$22</f>
        <v>0</v>
      </c>
      <c r="F5" s="12">
        <f t="shared" ref="F5:F13" si="1">E5-D5</f>
        <v>-813000</v>
      </c>
    </row>
    <row r="6">
      <c r="B6" s="19">
        <v>0.5</v>
      </c>
      <c r="C6" s="8">
        <f>'Расчет ТБУ'!$C$12</f>
        <v>813000</v>
      </c>
      <c r="D6" s="8">
        <f>C6+(B6*'Расчет ТБУ'!$D$22)</f>
        <v>962440</v>
      </c>
      <c r="E6" s="8">
        <f>B6*'Расчет ТБУ'!$C$22</f>
        <v>417600</v>
      </c>
      <c r="F6" s="13">
        <f t="shared" si="1"/>
        <v>-544840</v>
      </c>
    </row>
    <row r="7">
      <c r="B7" s="19">
        <v>1.0</v>
      </c>
      <c r="C7" s="6">
        <f>'Расчет ТБУ'!$C$12</f>
        <v>813000</v>
      </c>
      <c r="D7" s="6">
        <f>C7+(B7*'Расчет ТБУ'!$D$22)</f>
        <v>1111880</v>
      </c>
      <c r="E7" s="6">
        <f>B7*'Расчет ТБУ'!$C$22</f>
        <v>835200</v>
      </c>
      <c r="F7" s="12">
        <f t="shared" si="1"/>
        <v>-276680</v>
      </c>
    </row>
    <row r="8">
      <c r="B8" s="19">
        <v>1.5</v>
      </c>
      <c r="C8" s="8">
        <f>'Расчет ТБУ'!$C$12</f>
        <v>813000</v>
      </c>
      <c r="D8" s="8">
        <f>C8+(B8*'Расчет ТБУ'!$D$22)</f>
        <v>1261320</v>
      </c>
      <c r="E8" s="8">
        <f>B8*'Расчет ТБУ'!$C$22</f>
        <v>1252800</v>
      </c>
      <c r="F8" s="13">
        <f t="shared" si="1"/>
        <v>-8520</v>
      </c>
    </row>
    <row r="9">
      <c r="B9" s="19">
        <v>2.0</v>
      </c>
      <c r="C9" s="6">
        <f>'Расчет ТБУ'!$C$12</f>
        <v>813000</v>
      </c>
      <c r="D9" s="6">
        <f>C9+(B9*'Расчет ТБУ'!$D$22)</f>
        <v>1410760</v>
      </c>
      <c r="E9" s="6">
        <f>B9*'Расчет ТБУ'!$C$22</f>
        <v>1670400</v>
      </c>
      <c r="F9" s="12">
        <f t="shared" si="1"/>
        <v>259640</v>
      </c>
    </row>
    <row r="10">
      <c r="B10" s="19">
        <v>2.5</v>
      </c>
      <c r="C10" s="8">
        <f>'Расчет ТБУ'!$C$12</f>
        <v>813000</v>
      </c>
      <c r="D10" s="8">
        <f>C10+(B10*'Расчет ТБУ'!$D$22)</f>
        <v>1560200</v>
      </c>
      <c r="E10" s="8">
        <f>B10*'Расчет ТБУ'!$C$22</f>
        <v>2088000</v>
      </c>
      <c r="F10" s="13">
        <f t="shared" si="1"/>
        <v>527800</v>
      </c>
    </row>
    <row r="11">
      <c r="B11" s="19">
        <v>3.0</v>
      </c>
      <c r="C11" s="6">
        <f>'Расчет ТБУ'!$C$12</f>
        <v>813000</v>
      </c>
      <c r="D11" s="6">
        <f>C11+(B11*'Расчет ТБУ'!$D$22)</f>
        <v>1709640</v>
      </c>
      <c r="E11" s="6">
        <f>B11*'Расчет ТБУ'!$C$22</f>
        <v>2505600</v>
      </c>
      <c r="F11" s="12">
        <f t="shared" si="1"/>
        <v>795960</v>
      </c>
    </row>
    <row r="12">
      <c r="B12" s="19">
        <v>3.5</v>
      </c>
      <c r="C12" s="8">
        <f>'Расчет ТБУ'!$C$12</f>
        <v>813000</v>
      </c>
      <c r="D12" s="8">
        <f>C12+(B12*'Расчет ТБУ'!$D$22)</f>
        <v>1859080</v>
      </c>
      <c r="E12" s="8">
        <f>B12*'Расчет ТБУ'!$C$22</f>
        <v>2923200</v>
      </c>
      <c r="F12" s="13">
        <f t="shared" si="1"/>
        <v>1064120</v>
      </c>
    </row>
    <row r="13">
      <c r="B13" s="19">
        <v>4.0</v>
      </c>
      <c r="C13" s="6">
        <f>'Расчет ТБУ'!$C$12</f>
        <v>813000</v>
      </c>
      <c r="D13" s="6">
        <f>C13+(B13*'Расчет ТБУ'!$D$22)</f>
        <v>2008520</v>
      </c>
      <c r="E13" s="6">
        <f>B13*'Расчет ТБУ'!$C$22</f>
        <v>3340800</v>
      </c>
      <c r="F13" s="12">
        <f t="shared" si="1"/>
        <v>1332280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