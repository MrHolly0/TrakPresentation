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шборд" sheetId="1" r:id="rId5"/>
    <sheet state="visible" name="Базовый сценарий" sheetId="2" r:id="rId6"/>
    <sheet state="visible" name="Пессимистичный сценарий" sheetId="3" r:id="rId7"/>
    <sheet state="visible" name="Оптимистичный сценарий" sheetId="4" r:id="rId8"/>
  </sheets>
  <definedNames/>
  <calcPr/>
</workbook>
</file>

<file path=xl/sharedStrings.xml><?xml version="1.0" encoding="utf-8"?>
<sst xmlns="http://schemas.openxmlformats.org/spreadsheetml/2006/main" count="95" uniqueCount="56">
  <si>
    <t>ПРОЕКТ: IT-КАДРОВОЕ АГЕНТСТВО «track»</t>
  </si>
  <si>
    <t>Сводный дашборд финансовых сценариев (12 месяцев)</t>
  </si>
  <si>
    <t>Сводная таблица по итогам 12 месяцев</t>
  </si>
  <si>
    <t>Сценарий</t>
  </si>
  <si>
    <t>Всего закрытий</t>
  </si>
  <si>
    <t>Совокупная Выручка</t>
  </si>
  <si>
    <t>Совокупные Расходы</t>
  </si>
  <si>
    <t>Чистая Прибыль за год</t>
  </si>
  <si>
    <t>Финальный кэш (М12)</t>
  </si>
  <si>
    <t>Пессимистичный</t>
  </si>
  <si>
    <t>Базовый</t>
  </si>
  <si>
    <t>Оптимистичный</t>
  </si>
  <si>
    <t>Данные для графиков</t>
  </si>
  <si>
    <t>Месяц</t>
  </si>
  <si>
    <t>Выручка: Пессим.</t>
  </si>
  <si>
    <t>Выручка: Базовый</t>
  </si>
  <si>
    <t>Выручка: Оптим.</t>
  </si>
  <si>
    <t>Прибыль: Пессим.</t>
  </si>
  <si>
    <t>Прибыль: Базовый</t>
  </si>
  <si>
    <t>Прибыль: Оптим.</t>
  </si>
  <si>
    <t>Кэш: Пессим.</t>
  </si>
  <si>
    <t>Кэш: Базовый</t>
  </si>
  <si>
    <t>Кэш: Оптим.</t>
  </si>
  <si>
    <t>М1</t>
  </si>
  <si>
    <t>М2</t>
  </si>
  <si>
    <t>М3</t>
  </si>
  <si>
    <t>М4</t>
  </si>
  <si>
    <t>М5</t>
  </si>
  <si>
    <t>М6</t>
  </si>
  <si>
    <t>М7</t>
  </si>
  <si>
    <t>М8</t>
  </si>
  <si>
    <t>М9</t>
  </si>
  <si>
    <t>М10</t>
  </si>
  <si>
    <t>М11</t>
  </si>
  <si>
    <t>М12</t>
  </si>
  <si>
    <t>Финансовая модель: Базовый сценарий</t>
  </si>
  <si>
    <t>Количество закрытий</t>
  </si>
  <si>
    <t>Выручка</t>
  </si>
  <si>
    <t>Расходы</t>
  </si>
  <si>
    <t>Чистая прибыль</t>
  </si>
  <si>
    <t>Накопленная прибыль</t>
  </si>
  <si>
    <t>Месяц 1</t>
  </si>
  <si>
    <t>Месяц 2</t>
  </si>
  <si>
    <t>Месяц 3</t>
  </si>
  <si>
    <t>Месяц 4</t>
  </si>
  <si>
    <t>Месяц 5</t>
  </si>
  <si>
    <t>Месяц 6</t>
  </si>
  <si>
    <t>Месяц 7</t>
  </si>
  <si>
    <t>Месяц 8</t>
  </si>
  <si>
    <t>Месяц 9</t>
  </si>
  <si>
    <t>Месяц 10</t>
  </si>
  <si>
    <t>Месяц 11</t>
  </si>
  <si>
    <t>Месяц 12</t>
  </si>
  <si>
    <t>Итого / Баланс</t>
  </si>
  <si>
    <t>Финансовая модель: Пессимистичный сценарий</t>
  </si>
  <si>
    <t>Финансовая модель: Оптимистичный сценарий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</si>
</sst>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#,##0&quot; ₽&quot;"/>
  </numFmts>
  <fonts count="9">
    <font>
      <sz val="11.0"/>
      <color theme="1"/>
      <name val="Calibri"/>
      <scheme val="minor"/>
    </font>
    <font>
      <b/>
      <sz val="16.0"/>
      <color rgb="FF2C3E50"/>
      <name val="Arial"/>
    </font>
    <font>
      <sz val="11.0"/>
      <color theme="1"/>
      <name val="Arial"/>
    </font>
    <font>
      <b/>
      <sz val="12.0"/>
      <color rgb="FF2C3E50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9.0"/>
      <color rgb="FFFFFFFF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FF2CC"/>
        <bgColor rgb="FFFFF2CC"/>
      </patternFill>
    </fill>
    <fill>
      <patternFill patternType="solid">
        <fgColor rgb="FFF8F9FA"/>
        <bgColor rgb="FFF8F9FA"/>
      </patternFill>
    </fill>
    <fill>
      <patternFill patternType="solid">
        <fgColor rgb="FFEAEDED"/>
        <bgColor rgb="FFEAEDED"/>
      </patternFill>
    </fill>
  </fills>
  <borders count="4">
    <border/>
    <border>
      <left/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double">
        <color rgb="FF2C3E5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2" fillId="0" fontId="6" numFmtId="164" xfId="0" applyAlignment="1" applyBorder="1" applyFont="1" applyNumberFormat="1">
      <alignment horizontal="right"/>
    </xf>
    <xf borderId="2" fillId="0" fontId="6" numFmtId="165" xfId="0" applyAlignment="1" applyBorder="1" applyFont="1" applyNumberFormat="1">
      <alignment horizontal="right"/>
    </xf>
    <xf borderId="2" fillId="3" fontId="5" numFmtId="0" xfId="0" applyBorder="1" applyFill="1" applyFont="1"/>
    <xf borderId="2" fillId="3" fontId="6" numFmtId="164" xfId="0" applyAlignment="1" applyBorder="1" applyFont="1" applyNumberFormat="1">
      <alignment horizontal="right"/>
    </xf>
    <xf borderId="2" fillId="3" fontId="6" numFmtId="165" xfId="0" applyAlignment="1" applyBorder="1" applyFont="1" applyNumberFormat="1">
      <alignment horizontal="right"/>
    </xf>
    <xf borderId="1" fillId="2" fontId="7" numFmtId="0" xfId="0" applyAlignment="1" applyBorder="1" applyFont="1">
      <alignment horizontal="center"/>
    </xf>
    <xf borderId="0" fillId="0" fontId="8" numFmtId="0" xfId="0" applyFont="1"/>
    <xf borderId="0" fillId="0" fontId="6" numFmtId="3" xfId="0" applyFont="1" applyNumberFormat="1"/>
    <xf borderId="2" fillId="0" fontId="2" numFmtId="0" xfId="0" applyAlignment="1" applyBorder="1" applyFont="1">
      <alignment horizontal="left"/>
    </xf>
    <xf borderId="2" fillId="0" fontId="2" numFmtId="164" xfId="0" applyAlignment="1" applyBorder="1" applyFont="1" applyNumberFormat="1">
      <alignment horizontal="right"/>
    </xf>
    <xf borderId="2" fillId="0" fontId="2" numFmtId="165" xfId="0" applyAlignment="1" applyBorder="1" applyFont="1" applyNumberFormat="1">
      <alignment horizontal="right"/>
    </xf>
    <xf borderId="2" fillId="4" fontId="2" numFmtId="0" xfId="0" applyAlignment="1" applyBorder="1" applyFill="1" applyFont="1">
      <alignment horizontal="left"/>
    </xf>
    <xf borderId="2" fillId="4" fontId="2" numFmtId="164" xfId="0" applyAlignment="1" applyBorder="1" applyFont="1" applyNumberFormat="1">
      <alignment horizontal="right"/>
    </xf>
    <xf borderId="2" fillId="4" fontId="2" numFmtId="165" xfId="0" applyAlignment="1" applyBorder="1" applyFont="1" applyNumberFormat="1">
      <alignment horizontal="right"/>
    </xf>
    <xf borderId="3" fillId="5" fontId="5" numFmtId="0" xfId="0" applyAlignment="1" applyBorder="1" applyFill="1" applyFont="1">
      <alignment horizontal="left"/>
    </xf>
    <xf borderId="3" fillId="5" fontId="5" numFmtId="164" xfId="0" applyAlignment="1" applyBorder="1" applyFont="1" applyNumberFormat="1">
      <alignment horizontal="right"/>
    </xf>
    <xf borderId="3" fillId="5" fontId="5" numFmtId="165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Динамика выручки по сценариям</a:t>
            </a:r>
          </a:p>
        </c:rich>
      </c:tx>
      <c:overlay val="0"/>
    </c:title>
    <c:plotArea>
      <c:layout/>
      <c:lineChart>
        <c:ser>
          <c:idx val="0"/>
          <c:order val="0"/>
          <c:tx>
            <c:v>Выручка: Пессим.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'Дашборд'!$B$15:$B$26</c:f>
            </c:strRef>
          </c:cat>
          <c:val>
            <c:numRef>
              <c:f>'Дашборд'!$C$15:$C$26</c:f>
              <c:numCache/>
            </c:numRef>
          </c:val>
          <c:smooth val="0"/>
        </c:ser>
        <c:ser>
          <c:idx val="1"/>
          <c:order val="1"/>
          <c:tx>
            <c:v>Выручка: Базовый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'Дашборд'!$B$15:$B$26</c:f>
            </c:strRef>
          </c:cat>
          <c:val>
            <c:numRef>
              <c:f>'Дашборд'!$D$15:$D$26</c:f>
              <c:numCache/>
            </c:numRef>
          </c:val>
          <c:smooth val="0"/>
        </c:ser>
        <c:ser>
          <c:idx val="2"/>
          <c:order val="2"/>
          <c:tx>
            <c:v>Выручка: Оптим.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'Дашборд'!$B$15:$B$26</c:f>
            </c:strRef>
          </c:cat>
          <c:val>
            <c:numRef>
              <c:f>'Дашборд'!$E$15:$E$26</c:f>
              <c:numCache/>
            </c:numRef>
          </c:val>
          <c:smooth val="0"/>
        </c:ser>
        <c:axId val="43745198"/>
        <c:axId val="1007860156"/>
      </c:lineChart>
      <c:catAx>
        <c:axId val="43745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Месяцы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7860156"/>
      </c:catAx>
      <c:valAx>
        <c:axId val="10078601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Рубли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7451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Динамика чистой прибыли</a:t>
            </a:r>
          </a:p>
        </c:rich>
      </c:tx>
      <c:overlay val="0"/>
    </c:title>
    <c:plotArea>
      <c:layout/>
      <c:lineChart>
        <c:ser>
          <c:idx val="0"/>
          <c:order val="0"/>
          <c:tx>
            <c:v>Прибыль: Пессим.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'Дашборд'!$B$15:$B$26</c:f>
            </c:strRef>
          </c:cat>
          <c:val>
            <c:numRef>
              <c:f>'Дашборд'!$G$15:$G$26</c:f>
              <c:numCache/>
            </c:numRef>
          </c:val>
          <c:smooth val="0"/>
        </c:ser>
        <c:ser>
          <c:idx val="1"/>
          <c:order val="1"/>
          <c:tx>
            <c:v>Прибыль: Базовый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'Дашборд'!$B$15:$B$26</c:f>
            </c:strRef>
          </c:cat>
          <c:val>
            <c:numRef>
              <c:f>'Дашборд'!$H$15:$H$26</c:f>
              <c:numCache/>
            </c:numRef>
          </c:val>
          <c:smooth val="0"/>
        </c:ser>
        <c:ser>
          <c:idx val="2"/>
          <c:order val="2"/>
          <c:tx>
            <c:v>Прибыль: Оптим.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'Дашборд'!$B$15:$B$26</c:f>
            </c:strRef>
          </c:cat>
          <c:val>
            <c:numRef>
              <c:f>'Дашборд'!$I$15:$I$26</c:f>
              <c:numCache/>
            </c:numRef>
          </c:val>
          <c:smooth val="0"/>
        </c:ser>
        <c:axId val="1075498990"/>
        <c:axId val="990999359"/>
      </c:lineChart>
      <c:catAx>
        <c:axId val="1075498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Месяцы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0999359"/>
      </c:catAx>
      <c:valAx>
        <c:axId val="990999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Рубли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4989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Накопленная прибыль (Баланс кэша)</a:t>
            </a:r>
          </a:p>
        </c:rich>
      </c:tx>
      <c:overlay val="0"/>
    </c:title>
    <c:plotArea>
      <c:layout/>
      <c:lineChart>
        <c:ser>
          <c:idx val="0"/>
          <c:order val="0"/>
          <c:tx>
            <c:v>Кэш: Пессим.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'Дашборд'!$B$15:$B$26</c:f>
            </c:strRef>
          </c:cat>
          <c:val>
            <c:numRef>
              <c:f>'Дашборд'!$K$15:$K$26</c:f>
              <c:numCache/>
            </c:numRef>
          </c:val>
          <c:smooth val="0"/>
        </c:ser>
        <c:ser>
          <c:idx val="1"/>
          <c:order val="1"/>
          <c:tx>
            <c:v>Кэш: Базовый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'Дашборд'!$B$15:$B$26</c:f>
            </c:strRef>
          </c:cat>
          <c:val>
            <c:numRef>
              <c:f>'Дашборд'!$L$15:$L$26</c:f>
              <c:numCache/>
            </c:numRef>
          </c:val>
          <c:smooth val="0"/>
        </c:ser>
        <c:ser>
          <c:idx val="2"/>
          <c:order val="2"/>
          <c:tx>
            <c:v>Кэш: Оптим.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'Дашборд'!$B$15:$B$26</c:f>
            </c:strRef>
          </c:cat>
          <c:val>
            <c:numRef>
              <c:f>'Дашборд'!$M$15:$M$26</c:f>
              <c:numCache/>
            </c:numRef>
          </c:val>
          <c:smooth val="0"/>
        </c:ser>
        <c:axId val="283294175"/>
        <c:axId val="2109404084"/>
      </c:lineChart>
      <c:catAx>
        <c:axId val="283294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Месяцы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9404084"/>
      </c:catAx>
      <c:valAx>
        <c:axId val="21094040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Рубли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2941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28</xdr:row>
      <xdr:rowOff>0</xdr:rowOff>
    </xdr:from>
    <xdr:ext cx="6477000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28</xdr:row>
      <xdr:rowOff>0</xdr:rowOff>
    </xdr:from>
    <xdr:ext cx="6477000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49</xdr:row>
      <xdr:rowOff>0</xdr:rowOff>
    </xdr:from>
    <xdr:ext cx="6477000" cy="35909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1.0"/>
    <col customWidth="1" min="3" max="7" width="32.0"/>
    <col customWidth="1" min="8" max="8" width="25.0"/>
    <col customWidth="1" min="9" max="9" width="31.0"/>
    <col customWidth="1" min="10" max="10" width="12.0"/>
    <col customWidth="1" min="11" max="11" width="32.0"/>
    <col customWidth="1" min="12" max="12" width="25.0"/>
    <col customWidth="1" min="13" max="13" width="31.0"/>
    <col customWidth="1" min="14" max="26" width="8.71"/>
  </cols>
  <sheetData>
    <row r="2">
      <c r="B2" s="1" t="s">
        <v>0</v>
      </c>
    </row>
    <row r="3">
      <c r="B3" s="2" t="s">
        <v>1</v>
      </c>
    </row>
    <row r="5">
      <c r="B5" s="3" t="s">
        <v>2</v>
      </c>
    </row>
    <row r="6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</row>
    <row r="7">
      <c r="B7" s="5" t="s">
        <v>9</v>
      </c>
      <c r="C7" s="6">
        <f>'Пессимистичный сценарий'!B16</f>
        <v>18</v>
      </c>
      <c r="D7" s="7">
        <f>'Пессимистичный сценарий'!C16</f>
        <v>11050000</v>
      </c>
      <c r="E7" s="7">
        <f>'Пессимистичный сценарий'!D16</f>
        <v>8050000</v>
      </c>
      <c r="F7" s="7">
        <f>'Пессимистичный сценарий'!E16</f>
        <v>3000000</v>
      </c>
      <c r="G7" s="7">
        <f>'Пессимистичный сценарий'!F15</f>
        <v>3000000</v>
      </c>
    </row>
    <row r="8">
      <c r="B8" s="8" t="s">
        <v>10</v>
      </c>
      <c r="C8" s="9">
        <f>'Базовый сценарий'!B16</f>
        <v>38.5</v>
      </c>
      <c r="D8" s="10">
        <f>'Базовый сценарий'!C16</f>
        <v>24750000</v>
      </c>
      <c r="E8" s="10">
        <f>'Базовый сценарий'!D16</f>
        <v>11900000</v>
      </c>
      <c r="F8" s="10">
        <f>'Базовый сценарий'!E16</f>
        <v>12850000</v>
      </c>
      <c r="G8" s="10">
        <f>'Базовый сценарий'!F15</f>
        <v>12850000</v>
      </c>
    </row>
    <row r="9">
      <c r="B9" s="5" t="s">
        <v>11</v>
      </c>
      <c r="C9" s="6">
        <f>'Оптимистичный сценарий'!B16</f>
        <v>59.5</v>
      </c>
      <c r="D9" s="7">
        <f>'Оптимистичный сценарий'!C16</f>
        <v>38700000</v>
      </c>
      <c r="E9" s="7">
        <f>'Оптимистичный сценарий'!D16</f>
        <v>20700000</v>
      </c>
      <c r="F9" s="7">
        <f>'Оптимистичный сценарий'!E16</f>
        <v>18000000</v>
      </c>
      <c r="G9" s="7">
        <f>'Оптимистичный сценарий'!F15</f>
        <v>18000000</v>
      </c>
    </row>
    <row r="12">
      <c r="B12" s="3" t="s">
        <v>12</v>
      </c>
    </row>
    <row r="14">
      <c r="B14" s="11" t="s">
        <v>13</v>
      </c>
      <c r="C14" s="11" t="s">
        <v>14</v>
      </c>
      <c r="D14" s="11" t="s">
        <v>15</v>
      </c>
      <c r="E14" s="11" t="s">
        <v>16</v>
      </c>
      <c r="G14" s="11" t="s">
        <v>17</v>
      </c>
      <c r="H14" s="11" t="s">
        <v>18</v>
      </c>
      <c r="I14" s="11" t="s">
        <v>19</v>
      </c>
      <c r="K14" s="11" t="s">
        <v>20</v>
      </c>
      <c r="L14" s="11" t="s">
        <v>21</v>
      </c>
      <c r="M14" s="11" t="s">
        <v>22</v>
      </c>
    </row>
    <row r="15">
      <c r="B15" s="12" t="s">
        <v>23</v>
      </c>
      <c r="C15" s="13">
        <f>'Пессимистичный сценарий'!C4</f>
        <v>0</v>
      </c>
      <c r="D15" s="13">
        <f>'Базовый сценарий'!C4</f>
        <v>0</v>
      </c>
      <c r="E15" s="13">
        <f>'Оптимистичный сценарий'!C4</f>
        <v>0</v>
      </c>
      <c r="G15" s="13">
        <f>'Пессимистичный сценарий'!E4</f>
        <v>-800000</v>
      </c>
      <c r="H15" s="13">
        <f>'Базовый сценарий'!E4</f>
        <v>-800000</v>
      </c>
      <c r="I15" s="13">
        <f>'Оптимистичный сценарий'!E4</f>
        <v>-800000</v>
      </c>
      <c r="K15" s="13">
        <f>'Пессимистичный сценарий'!F4</f>
        <v>-800000</v>
      </c>
      <c r="L15" s="13">
        <f>'Базовый сценарий'!F4</f>
        <v>-800000</v>
      </c>
      <c r="M15" s="13">
        <f>'Оптимистичный сценарий'!F4</f>
        <v>-800000</v>
      </c>
    </row>
    <row r="16">
      <c r="B16" s="12" t="s">
        <v>24</v>
      </c>
      <c r="C16" s="13">
        <f>'Пессимистичный сценарий'!C5</f>
        <v>0</v>
      </c>
      <c r="D16" s="13">
        <f>'Базовый сценарий'!C5</f>
        <v>600000</v>
      </c>
      <c r="E16" s="13">
        <f>'Оптимистичный сценарий'!C5</f>
        <v>1200000</v>
      </c>
      <c r="G16" s="13">
        <f>'Пессимистичный сценарий'!E5</f>
        <v>-200000</v>
      </c>
      <c r="H16" s="13">
        <f>'Базовый сценарий'!E5</f>
        <v>300000</v>
      </c>
      <c r="I16" s="13">
        <f>'Оптимистичный сценарий'!E5</f>
        <v>800000</v>
      </c>
      <c r="K16" s="13">
        <f>'Пессимистичный сценарий'!F5</f>
        <v>-1000000</v>
      </c>
      <c r="L16" s="13">
        <f>'Базовый сценарий'!F5</f>
        <v>-500000</v>
      </c>
      <c r="M16" s="13">
        <f>'Оптимистичный сценарий'!F5</f>
        <v>0</v>
      </c>
    </row>
    <row r="17">
      <c r="B17" s="12" t="s">
        <v>25</v>
      </c>
      <c r="C17" s="13">
        <f>'Пессимистичный сценарий'!C6</f>
        <v>300000</v>
      </c>
      <c r="D17" s="13">
        <f>'Базовый сценарий'!C6</f>
        <v>1200000</v>
      </c>
      <c r="E17" s="13">
        <f>'Оптимистичный сценарий'!C6</f>
        <v>2400000</v>
      </c>
      <c r="G17" s="13">
        <f>'Пессимистичный сценарий'!E6</f>
        <v>200000</v>
      </c>
      <c r="H17" s="13">
        <f>'Базовый сценарий'!E6</f>
        <v>600000</v>
      </c>
      <c r="I17" s="13">
        <f>'Оптимистичный сценарий'!E6</f>
        <v>2000000</v>
      </c>
      <c r="K17" s="13">
        <f>'Пессимистичный сценарий'!F6</f>
        <v>-800000</v>
      </c>
      <c r="L17" s="13">
        <f>'Базовый сценарий'!F6</f>
        <v>100000</v>
      </c>
      <c r="M17" s="13">
        <f>'Оптимистичный сценарий'!F6</f>
        <v>2000000</v>
      </c>
    </row>
    <row r="18">
      <c r="B18" s="12" t="s">
        <v>26</v>
      </c>
      <c r="C18" s="13">
        <f>'Пессимистичный сценарий'!C7</f>
        <v>400000</v>
      </c>
      <c r="D18" s="13">
        <f>'Базовый сценарий'!C7</f>
        <v>1400000</v>
      </c>
      <c r="E18" s="13">
        <f>'Оптимистичный сценарий'!C7</f>
        <v>2500000</v>
      </c>
      <c r="G18" s="13">
        <f>'Пессимистичный сценарий'!E7</f>
        <v>250000</v>
      </c>
      <c r="H18" s="13">
        <f>'Базовый сценарий'!E7</f>
        <v>750000</v>
      </c>
      <c r="I18" s="13">
        <f>'Оптимистичный сценарий'!E7</f>
        <v>1000000</v>
      </c>
      <c r="K18" s="13">
        <f>'Пессимистичный сценарий'!F7</f>
        <v>-550000</v>
      </c>
      <c r="L18" s="13">
        <f>'Базовый сценарий'!F7</f>
        <v>850000</v>
      </c>
      <c r="M18" s="13">
        <f>'Оптимистичный сценарий'!F7</f>
        <v>3000000</v>
      </c>
    </row>
    <row r="19">
      <c r="B19" s="12" t="s">
        <v>27</v>
      </c>
      <c r="C19" s="13">
        <f>'Пессимистичный сценарий'!C8</f>
        <v>600000</v>
      </c>
      <c r="D19" s="13">
        <f>'Базовый сценарий'!C8</f>
        <v>1650000</v>
      </c>
      <c r="E19" s="13">
        <f>'Оптимистичный сценарий'!C8</f>
        <v>2700000</v>
      </c>
      <c r="G19" s="13">
        <f>'Пессимистичный сценарий'!E8</f>
        <v>250000</v>
      </c>
      <c r="H19" s="13">
        <f>'Базовый сценарий'!E8</f>
        <v>1100000</v>
      </c>
      <c r="I19" s="13">
        <f>'Оптимистичный сценарий'!E8</f>
        <v>1000000</v>
      </c>
      <c r="K19" s="13">
        <f>'Пессимистичный сценарий'!F8</f>
        <v>-300000</v>
      </c>
      <c r="L19" s="13">
        <f>'Базовый сценарий'!F8</f>
        <v>1950000</v>
      </c>
      <c r="M19" s="13">
        <f>'Оптимистичный сценарий'!F8</f>
        <v>4000000</v>
      </c>
    </row>
    <row r="20">
      <c r="B20" s="12" t="s">
        <v>28</v>
      </c>
      <c r="C20" s="13">
        <f>'Пессимистичный сценарий'!C9</f>
        <v>950000</v>
      </c>
      <c r="D20" s="13">
        <f>'Базовый сценарий'!C9</f>
        <v>1900000</v>
      </c>
      <c r="E20" s="13">
        <f>'Оптимистичный сценарий'!C9</f>
        <v>2850000</v>
      </c>
      <c r="G20" s="13">
        <f>'Пессимистичный сценарий'!E9</f>
        <v>150000</v>
      </c>
      <c r="H20" s="13">
        <f>'Базовый сценарий'!E9</f>
        <v>900000</v>
      </c>
      <c r="I20" s="13">
        <f>'Оптимистичный сценарий'!E9</f>
        <v>1000000</v>
      </c>
      <c r="K20" s="13">
        <f>'Пессимистичный сценарий'!F9</f>
        <v>-150000</v>
      </c>
      <c r="L20" s="13">
        <f>'Базовый сценарий'!F9</f>
        <v>2850000</v>
      </c>
      <c r="M20" s="13">
        <f>'Оптимистичный сценарий'!F9</f>
        <v>5000000</v>
      </c>
    </row>
    <row r="21" ht="15.75" customHeight="1">
      <c r="B21" s="12" t="s">
        <v>29</v>
      </c>
      <c r="C21" s="13">
        <f>'Пессимистичный сценарий'!C10</f>
        <v>1000000</v>
      </c>
      <c r="D21" s="13">
        <f>'Базовый сценарий'!C10</f>
        <v>2200000</v>
      </c>
      <c r="E21" s="13">
        <f>'Оптимистичный сценарий'!C10</f>
        <v>3200000</v>
      </c>
      <c r="G21" s="13">
        <f>'Пессимистичный сценарий'!E10</f>
        <v>450000</v>
      </c>
      <c r="H21" s="13">
        <f>'Базовый сценарий'!E10</f>
        <v>1300000</v>
      </c>
      <c r="I21" s="13">
        <f>'Оптимистичный сценарий'!E10</f>
        <v>1500000</v>
      </c>
      <c r="K21" s="13">
        <f>'Пессимистичный сценарий'!F10</f>
        <v>300000</v>
      </c>
      <c r="L21" s="13">
        <f>'Базовый сценарий'!F10</f>
        <v>4150000</v>
      </c>
      <c r="M21" s="13">
        <f>'Оптимистичный сценарий'!F10</f>
        <v>6500000</v>
      </c>
    </row>
    <row r="22" ht="15.75" customHeight="1">
      <c r="B22" s="12" t="s">
        <v>30</v>
      </c>
      <c r="C22" s="13">
        <f>'Пессимистичный сценарий'!C11</f>
        <v>1200000</v>
      </c>
      <c r="D22" s="13">
        <f>'Базовый сценарий'!C11</f>
        <v>2500000</v>
      </c>
      <c r="E22" s="13">
        <f>'Оптимистичный сценарий'!C11</f>
        <v>3600000</v>
      </c>
      <c r="G22" s="13">
        <f>'Пессимистичный сценарий'!E11</f>
        <v>600000</v>
      </c>
      <c r="H22" s="13">
        <f>'Базовый сценарий'!E11</f>
        <v>1500000</v>
      </c>
      <c r="I22" s="13">
        <f>'Оптимистичный сценарий'!E11</f>
        <v>2000000</v>
      </c>
      <c r="K22" s="13">
        <f>'Пессимистичный сценарий'!F11</f>
        <v>900000</v>
      </c>
      <c r="L22" s="13">
        <f>'Базовый сценарий'!F11</f>
        <v>5650000</v>
      </c>
      <c r="M22" s="13">
        <f>'Оптимистичный сценарий'!F11</f>
        <v>8500000</v>
      </c>
    </row>
    <row r="23" ht="15.75" customHeight="1">
      <c r="B23" s="12" t="s">
        <v>31</v>
      </c>
      <c r="C23" s="13">
        <f>'Пессимистичный сценарий'!C12</f>
        <v>1350000</v>
      </c>
      <c r="D23" s="13">
        <f>'Базовый сценарий'!C12</f>
        <v>2700000</v>
      </c>
      <c r="E23" s="13">
        <f>'Оптимистичный сценарий'!C12</f>
        <v>4050000</v>
      </c>
      <c r="G23" s="13">
        <f>'Пессимистичный сценарий'!E12</f>
        <v>600000</v>
      </c>
      <c r="H23" s="13">
        <f>'Базовый сценарий'!E12</f>
        <v>1400000</v>
      </c>
      <c r="I23" s="13">
        <f>'Оптимистичный сценарий'!E12</f>
        <v>2000000</v>
      </c>
      <c r="K23" s="13">
        <f>'Пессимистичный сценарий'!F12</f>
        <v>1500000</v>
      </c>
      <c r="L23" s="13">
        <f>'Базовый сценарий'!F12</f>
        <v>7050000</v>
      </c>
      <c r="M23" s="13">
        <f>'Оптимистичный сценарий'!F12</f>
        <v>10500000</v>
      </c>
    </row>
    <row r="24" ht="15.75" customHeight="1">
      <c r="B24" s="12" t="s">
        <v>32</v>
      </c>
      <c r="C24" s="13">
        <f>'Пессимистичный сценарий'!C13</f>
        <v>1500000</v>
      </c>
      <c r="D24" s="13">
        <f>'Базовый сценарий'!C13</f>
        <v>3100000</v>
      </c>
      <c r="E24" s="13">
        <f>'Оптимистичный сценарий'!C13</f>
        <v>4800000</v>
      </c>
      <c r="G24" s="13">
        <f>'Пессимистичный сценарий'!E13</f>
        <v>500000</v>
      </c>
      <c r="H24" s="13">
        <f>'Базовый сценарий'!E13</f>
        <v>1800000</v>
      </c>
      <c r="I24" s="13">
        <f>'Оптимистичный сценарий'!E13</f>
        <v>2500000</v>
      </c>
      <c r="K24" s="13">
        <f>'Пессимистичный сценарий'!F13</f>
        <v>2000000</v>
      </c>
      <c r="L24" s="13">
        <f>'Базовый сценарий'!F13</f>
        <v>8850000</v>
      </c>
      <c r="M24" s="13">
        <f>'Оптимистичный сценарий'!F13</f>
        <v>13000000</v>
      </c>
    </row>
    <row r="25" ht="15.75" customHeight="1">
      <c r="B25" s="12" t="s">
        <v>33</v>
      </c>
      <c r="C25" s="13">
        <f>'Пессимистичный сценарий'!C14</f>
        <v>1750000</v>
      </c>
      <c r="D25" s="13">
        <f>'Базовый сценарий'!C14</f>
        <v>3500000</v>
      </c>
      <c r="E25" s="13">
        <f>'Оптимистичный сценарий'!C14</f>
        <v>5400000</v>
      </c>
      <c r="G25" s="13">
        <f>'Пессимистичный сценарий'!E14</f>
        <v>500000</v>
      </c>
      <c r="H25" s="13">
        <f>'Базовый сценарий'!E14</f>
        <v>2000000</v>
      </c>
      <c r="I25" s="13">
        <f>'Оптимистичный сценарий'!E14</f>
        <v>2500000</v>
      </c>
      <c r="K25" s="13">
        <f>'Пессимистичный сценарий'!F14</f>
        <v>2500000</v>
      </c>
      <c r="L25" s="13">
        <f>'Базовый сценарий'!F14</f>
        <v>10850000</v>
      </c>
      <c r="M25" s="13">
        <f>'Оптимистичный сценарий'!F14</f>
        <v>15500000</v>
      </c>
    </row>
    <row r="26" ht="15.75" customHeight="1">
      <c r="B26" s="12" t="s">
        <v>34</v>
      </c>
      <c r="C26" s="13">
        <f>'Пессимистичный сценарий'!C15</f>
        <v>2000000</v>
      </c>
      <c r="D26" s="13">
        <f>'Базовый сценарий'!C15</f>
        <v>4000000</v>
      </c>
      <c r="E26" s="13">
        <f>'Оптимистичный сценарий'!C15</f>
        <v>6000000</v>
      </c>
      <c r="G26" s="13">
        <f>'Пессимистичный сценарий'!E15</f>
        <v>500000</v>
      </c>
      <c r="H26" s="13">
        <f>'Базовый сценарий'!E15</f>
        <v>2000000</v>
      </c>
      <c r="I26" s="13">
        <f>'Оптимистичный сценарий'!E15</f>
        <v>2500000</v>
      </c>
      <c r="K26" s="13">
        <f>'Пессимистичный сценарий'!F15</f>
        <v>3000000</v>
      </c>
      <c r="L26" s="13">
        <f>'Базовый сценарий'!F15</f>
        <v>12850000</v>
      </c>
      <c r="M26" s="13">
        <f>'Оптимистичный сценарий'!F15</f>
        <v>18000000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2.0"/>
    <col customWidth="1" min="3" max="4" width="15.0"/>
    <col customWidth="1" min="5" max="5" width="17.0"/>
    <col customWidth="1" min="6" max="6" width="22.0"/>
    <col customWidth="1" min="7" max="26" width="8.71"/>
  </cols>
  <sheetData>
    <row r="1">
      <c r="A1" s="1" t="s">
        <v>35</v>
      </c>
    </row>
    <row r="3">
      <c r="A3" s="4" t="s">
        <v>13</v>
      </c>
      <c r="B3" s="4" t="s">
        <v>36</v>
      </c>
      <c r="C3" s="4" t="s">
        <v>37</v>
      </c>
      <c r="D3" s="4" t="s">
        <v>38</v>
      </c>
      <c r="E3" s="4" t="s">
        <v>39</v>
      </c>
      <c r="F3" s="4" t="s">
        <v>40</v>
      </c>
    </row>
    <row r="4">
      <c r="A4" s="14" t="s">
        <v>41</v>
      </c>
      <c r="B4" s="15">
        <v>0.0</v>
      </c>
      <c r="C4" s="16">
        <v>0.0</v>
      </c>
      <c r="D4" s="16">
        <v>800000.0</v>
      </c>
      <c r="E4" s="16">
        <f t="shared" ref="E4:E15" si="1">C4-D4</f>
        <v>-800000</v>
      </c>
      <c r="F4" s="16">
        <f>E4</f>
        <v>-800000</v>
      </c>
    </row>
    <row r="5">
      <c r="A5" s="17" t="s">
        <v>42</v>
      </c>
      <c r="B5" s="18">
        <v>1.0</v>
      </c>
      <c r="C5" s="19">
        <v>600000.0</v>
      </c>
      <c r="D5" s="19">
        <v>300000.0</v>
      </c>
      <c r="E5" s="19">
        <f t="shared" si="1"/>
        <v>300000</v>
      </c>
      <c r="F5" s="19">
        <f t="shared" ref="F5:F15" si="2">F4+E5</f>
        <v>-500000</v>
      </c>
    </row>
    <row r="6">
      <c r="A6" s="14" t="s">
        <v>43</v>
      </c>
      <c r="B6" s="15">
        <v>2.0</v>
      </c>
      <c r="C6" s="16">
        <v>1200000.0</v>
      </c>
      <c r="D6" s="16">
        <v>600000.0</v>
      </c>
      <c r="E6" s="16">
        <f t="shared" si="1"/>
        <v>600000</v>
      </c>
      <c r="F6" s="16">
        <f t="shared" si="2"/>
        <v>100000</v>
      </c>
    </row>
    <row r="7">
      <c r="A7" s="17" t="s">
        <v>44</v>
      </c>
      <c r="B7" s="18">
        <v>2.0</v>
      </c>
      <c r="C7" s="19">
        <v>1400000.0</v>
      </c>
      <c r="D7" s="19">
        <v>650000.0</v>
      </c>
      <c r="E7" s="19">
        <f t="shared" si="1"/>
        <v>750000</v>
      </c>
      <c r="F7" s="19">
        <f t="shared" si="2"/>
        <v>850000</v>
      </c>
    </row>
    <row r="8">
      <c r="A8" s="14" t="s">
        <v>45</v>
      </c>
      <c r="B8" s="15">
        <v>2.5</v>
      </c>
      <c r="C8" s="16">
        <v>1650000.0</v>
      </c>
      <c r="D8" s="16">
        <v>550000.0</v>
      </c>
      <c r="E8" s="16">
        <f t="shared" si="1"/>
        <v>1100000</v>
      </c>
      <c r="F8" s="16">
        <f t="shared" si="2"/>
        <v>1950000</v>
      </c>
    </row>
    <row r="9">
      <c r="A9" s="17" t="s">
        <v>46</v>
      </c>
      <c r="B9" s="18">
        <v>3.0</v>
      </c>
      <c r="C9" s="19">
        <v>1900000.0</v>
      </c>
      <c r="D9" s="19">
        <v>1000000.0</v>
      </c>
      <c r="E9" s="19">
        <f t="shared" si="1"/>
        <v>900000</v>
      </c>
      <c r="F9" s="19">
        <f t="shared" si="2"/>
        <v>2850000</v>
      </c>
    </row>
    <row r="10">
      <c r="A10" s="14" t="s">
        <v>47</v>
      </c>
      <c r="B10" s="15">
        <v>3.5</v>
      </c>
      <c r="C10" s="16">
        <v>2200000.0</v>
      </c>
      <c r="D10" s="16">
        <v>900000.0</v>
      </c>
      <c r="E10" s="16">
        <f t="shared" si="1"/>
        <v>1300000</v>
      </c>
      <c r="F10" s="16">
        <f t="shared" si="2"/>
        <v>4150000</v>
      </c>
    </row>
    <row r="11">
      <c r="A11" s="17" t="s">
        <v>48</v>
      </c>
      <c r="B11" s="18">
        <v>4.0</v>
      </c>
      <c r="C11" s="19">
        <v>2500000.0</v>
      </c>
      <c r="D11" s="19">
        <v>1000000.0</v>
      </c>
      <c r="E11" s="19">
        <f t="shared" si="1"/>
        <v>1500000</v>
      </c>
      <c r="F11" s="19">
        <f t="shared" si="2"/>
        <v>5650000</v>
      </c>
    </row>
    <row r="12">
      <c r="A12" s="14" t="s">
        <v>49</v>
      </c>
      <c r="B12" s="15">
        <v>4.0</v>
      </c>
      <c r="C12" s="16">
        <v>2700000.0</v>
      </c>
      <c r="D12" s="16">
        <v>1300000.0</v>
      </c>
      <c r="E12" s="16">
        <f t="shared" si="1"/>
        <v>1400000</v>
      </c>
      <c r="F12" s="16">
        <f t="shared" si="2"/>
        <v>7050000</v>
      </c>
    </row>
    <row r="13">
      <c r="A13" s="17" t="s">
        <v>50</v>
      </c>
      <c r="B13" s="18">
        <v>5.0</v>
      </c>
      <c r="C13" s="19">
        <v>3100000.0</v>
      </c>
      <c r="D13" s="19">
        <v>1300000.0</v>
      </c>
      <c r="E13" s="19">
        <f t="shared" si="1"/>
        <v>1800000</v>
      </c>
      <c r="F13" s="19">
        <f t="shared" si="2"/>
        <v>8850000</v>
      </c>
    </row>
    <row r="14">
      <c r="A14" s="14" t="s">
        <v>51</v>
      </c>
      <c r="B14" s="15">
        <v>5.5</v>
      </c>
      <c r="C14" s="16">
        <v>3500000.0</v>
      </c>
      <c r="D14" s="16">
        <v>1500000.0</v>
      </c>
      <c r="E14" s="16">
        <f t="shared" si="1"/>
        <v>2000000</v>
      </c>
      <c r="F14" s="16">
        <f t="shared" si="2"/>
        <v>10850000</v>
      </c>
    </row>
    <row r="15">
      <c r="A15" s="17" t="s">
        <v>52</v>
      </c>
      <c r="B15" s="18">
        <v>6.0</v>
      </c>
      <c r="C15" s="19">
        <v>4000000.0</v>
      </c>
      <c r="D15" s="19">
        <v>2000000.0</v>
      </c>
      <c r="E15" s="19">
        <f t="shared" si="1"/>
        <v>2000000</v>
      </c>
      <c r="F15" s="19">
        <f t="shared" si="2"/>
        <v>12850000</v>
      </c>
    </row>
    <row r="16">
      <c r="A16" s="20" t="s">
        <v>53</v>
      </c>
      <c r="B16" s="21">
        <f t="shared" ref="B16:E16" si="3">SUM(B4:B15)</f>
        <v>38.5</v>
      </c>
      <c r="C16" s="22">
        <f t="shared" si="3"/>
        <v>24750000</v>
      </c>
      <c r="D16" s="22">
        <f t="shared" si="3"/>
        <v>11900000</v>
      </c>
      <c r="E16" s="22">
        <f t="shared" si="3"/>
        <v>12850000</v>
      </c>
      <c r="F16" s="22">
        <f>F15</f>
        <v>12850000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22.0"/>
    <col customWidth="1" min="3" max="4" width="15.0"/>
    <col customWidth="1" min="5" max="5" width="17.0"/>
    <col customWidth="1" min="6" max="6" width="22.0"/>
    <col customWidth="1" min="7" max="26" width="8.71"/>
  </cols>
  <sheetData>
    <row r="1">
      <c r="A1" s="1" t="s">
        <v>54</v>
      </c>
    </row>
    <row r="3">
      <c r="A3" s="4" t="s">
        <v>13</v>
      </c>
      <c r="B3" s="4" t="s">
        <v>36</v>
      </c>
      <c r="C3" s="4" t="s">
        <v>37</v>
      </c>
      <c r="D3" s="4" t="s">
        <v>38</v>
      </c>
      <c r="E3" s="4" t="s">
        <v>39</v>
      </c>
      <c r="F3" s="4" t="s">
        <v>40</v>
      </c>
    </row>
    <row r="4">
      <c r="A4" s="14" t="s">
        <v>41</v>
      </c>
      <c r="B4" s="15">
        <v>0.0</v>
      </c>
      <c r="C4" s="16">
        <v>0.0</v>
      </c>
      <c r="D4" s="16">
        <v>800000.0</v>
      </c>
      <c r="E4" s="16">
        <f t="shared" ref="E4:E15" si="1">C4-D4</f>
        <v>-800000</v>
      </c>
      <c r="F4" s="16">
        <f>E4</f>
        <v>-800000</v>
      </c>
    </row>
    <row r="5">
      <c r="A5" s="17" t="s">
        <v>42</v>
      </c>
      <c r="B5" s="18">
        <v>0.0</v>
      </c>
      <c r="C5" s="19">
        <v>0.0</v>
      </c>
      <c r="D5" s="19">
        <v>200000.0</v>
      </c>
      <c r="E5" s="19">
        <f t="shared" si="1"/>
        <v>-200000</v>
      </c>
      <c r="F5" s="19">
        <f t="shared" ref="F5:F15" si="2">F4+E5</f>
        <v>-1000000</v>
      </c>
    </row>
    <row r="6">
      <c r="A6" s="14" t="s">
        <v>43</v>
      </c>
      <c r="B6" s="15">
        <v>1.0</v>
      </c>
      <c r="C6" s="16">
        <v>300000.0</v>
      </c>
      <c r="D6" s="16">
        <v>100000.0</v>
      </c>
      <c r="E6" s="16">
        <f t="shared" si="1"/>
        <v>200000</v>
      </c>
      <c r="F6" s="16">
        <f t="shared" si="2"/>
        <v>-800000</v>
      </c>
    </row>
    <row r="7">
      <c r="A7" s="17" t="s">
        <v>44</v>
      </c>
      <c r="B7" s="18">
        <v>1.0</v>
      </c>
      <c r="C7" s="19">
        <v>400000.0</v>
      </c>
      <c r="D7" s="19">
        <v>150000.0</v>
      </c>
      <c r="E7" s="19">
        <f t="shared" si="1"/>
        <v>250000</v>
      </c>
      <c r="F7" s="19">
        <f t="shared" si="2"/>
        <v>-550000</v>
      </c>
    </row>
    <row r="8">
      <c r="A8" s="14" t="s">
        <v>45</v>
      </c>
      <c r="B8" s="15">
        <v>1.2</v>
      </c>
      <c r="C8" s="16">
        <v>600000.0</v>
      </c>
      <c r="D8" s="16">
        <v>350000.0</v>
      </c>
      <c r="E8" s="16">
        <f t="shared" si="1"/>
        <v>250000</v>
      </c>
      <c r="F8" s="16">
        <f t="shared" si="2"/>
        <v>-300000</v>
      </c>
    </row>
    <row r="9">
      <c r="A9" s="17" t="s">
        <v>46</v>
      </c>
      <c r="B9" s="18">
        <v>1.5</v>
      </c>
      <c r="C9" s="19">
        <v>950000.0</v>
      </c>
      <c r="D9" s="19">
        <v>800000.0</v>
      </c>
      <c r="E9" s="19">
        <f t="shared" si="1"/>
        <v>150000</v>
      </c>
      <c r="F9" s="19">
        <f t="shared" si="2"/>
        <v>-150000</v>
      </c>
    </row>
    <row r="10">
      <c r="A10" s="14" t="s">
        <v>47</v>
      </c>
      <c r="B10" s="15">
        <v>1.5</v>
      </c>
      <c r="C10" s="16">
        <v>1000000.0</v>
      </c>
      <c r="D10" s="16">
        <v>550000.0</v>
      </c>
      <c r="E10" s="16">
        <f t="shared" si="1"/>
        <v>450000</v>
      </c>
      <c r="F10" s="16">
        <f t="shared" si="2"/>
        <v>300000</v>
      </c>
    </row>
    <row r="11">
      <c r="A11" s="17" t="s">
        <v>48</v>
      </c>
      <c r="B11" s="18">
        <v>1.8</v>
      </c>
      <c r="C11" s="19">
        <v>1200000.0</v>
      </c>
      <c r="D11" s="19">
        <v>600000.0</v>
      </c>
      <c r="E11" s="19">
        <f t="shared" si="1"/>
        <v>600000</v>
      </c>
      <c r="F11" s="19">
        <f t="shared" si="2"/>
        <v>900000</v>
      </c>
    </row>
    <row r="12">
      <c r="A12" s="14" t="s">
        <v>49</v>
      </c>
      <c r="B12" s="15">
        <v>2.0</v>
      </c>
      <c r="C12" s="16">
        <v>1350000.0</v>
      </c>
      <c r="D12" s="16">
        <v>750000.0</v>
      </c>
      <c r="E12" s="16">
        <f t="shared" si="1"/>
        <v>600000</v>
      </c>
      <c r="F12" s="16">
        <f t="shared" si="2"/>
        <v>1500000</v>
      </c>
    </row>
    <row r="13">
      <c r="A13" s="17" t="s">
        <v>50</v>
      </c>
      <c r="B13" s="18">
        <v>2.5</v>
      </c>
      <c r="C13" s="19">
        <v>1500000.0</v>
      </c>
      <c r="D13" s="19">
        <v>1000000.0</v>
      </c>
      <c r="E13" s="19">
        <f t="shared" si="1"/>
        <v>500000</v>
      </c>
      <c r="F13" s="19">
        <f t="shared" si="2"/>
        <v>2000000</v>
      </c>
    </row>
    <row r="14">
      <c r="A14" s="14" t="s">
        <v>51</v>
      </c>
      <c r="B14" s="15">
        <v>2.5</v>
      </c>
      <c r="C14" s="16">
        <v>1750000.0</v>
      </c>
      <c r="D14" s="16">
        <v>1250000.0</v>
      </c>
      <c r="E14" s="16">
        <f t="shared" si="1"/>
        <v>500000</v>
      </c>
      <c r="F14" s="16">
        <f t="shared" si="2"/>
        <v>2500000</v>
      </c>
    </row>
    <row r="15">
      <c r="A15" s="17" t="s">
        <v>52</v>
      </c>
      <c r="B15" s="18">
        <v>3.0</v>
      </c>
      <c r="C15" s="19">
        <v>2000000.0</v>
      </c>
      <c r="D15" s="19">
        <v>1500000.0</v>
      </c>
      <c r="E15" s="19">
        <f t="shared" si="1"/>
        <v>500000</v>
      </c>
      <c r="F15" s="19">
        <f t="shared" si="2"/>
        <v>3000000</v>
      </c>
    </row>
    <row r="16">
      <c r="A16" s="20" t="s">
        <v>53</v>
      </c>
      <c r="B16" s="21">
        <f t="shared" ref="B16:E16" si="3">SUM(B4:B15)</f>
        <v>18</v>
      </c>
      <c r="C16" s="22">
        <f t="shared" si="3"/>
        <v>11050000</v>
      </c>
      <c r="D16" s="22">
        <f t="shared" si="3"/>
        <v>8050000</v>
      </c>
      <c r="E16" s="22">
        <f t="shared" si="3"/>
        <v>3000000</v>
      </c>
      <c r="F16" s="22">
        <f>F15</f>
        <v>3000000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22.0"/>
    <col customWidth="1" min="3" max="4" width="15.0"/>
    <col customWidth="1" min="5" max="5" width="17.0"/>
    <col customWidth="1" min="6" max="6" width="22.0"/>
    <col customWidth="1" min="7" max="26" width="8.71"/>
  </cols>
  <sheetData>
    <row r="1">
      <c r="A1" s="1" t="s">
        <v>55</v>
      </c>
    </row>
    <row r="3">
      <c r="A3" s="4" t="s">
        <v>13</v>
      </c>
      <c r="B3" s="4" t="s">
        <v>36</v>
      </c>
      <c r="C3" s="4" t="s">
        <v>37</v>
      </c>
      <c r="D3" s="4" t="s">
        <v>38</v>
      </c>
      <c r="E3" s="4" t="s">
        <v>39</v>
      </c>
      <c r="F3" s="4" t="s">
        <v>40</v>
      </c>
    </row>
    <row r="4">
      <c r="A4" s="14" t="s">
        <v>41</v>
      </c>
      <c r="B4" s="15">
        <v>0.0</v>
      </c>
      <c r="C4" s="16">
        <v>0.0</v>
      </c>
      <c r="D4" s="16">
        <v>800000.0</v>
      </c>
      <c r="E4" s="16">
        <f t="shared" ref="E4:E15" si="1">C4-D4</f>
        <v>-800000</v>
      </c>
      <c r="F4" s="16">
        <f>E4</f>
        <v>-800000</v>
      </c>
    </row>
    <row r="5">
      <c r="A5" s="17" t="s">
        <v>42</v>
      </c>
      <c r="B5" s="18">
        <v>2.0</v>
      </c>
      <c r="C5" s="19">
        <v>1200000.0</v>
      </c>
      <c r="D5" s="19">
        <v>400000.0</v>
      </c>
      <c r="E5" s="19">
        <f t="shared" si="1"/>
        <v>800000</v>
      </c>
      <c r="F5" s="19">
        <f t="shared" ref="F5:F15" si="2">F4+E5</f>
        <v>0</v>
      </c>
    </row>
    <row r="6">
      <c r="A6" s="14" t="s">
        <v>43</v>
      </c>
      <c r="B6" s="15">
        <v>4.0</v>
      </c>
      <c r="C6" s="16">
        <v>2400000.0</v>
      </c>
      <c r="D6" s="16">
        <v>400000.0</v>
      </c>
      <c r="E6" s="16">
        <f t="shared" si="1"/>
        <v>2000000</v>
      </c>
      <c r="F6" s="16">
        <f t="shared" si="2"/>
        <v>2000000</v>
      </c>
    </row>
    <row r="7">
      <c r="A7" s="17" t="s">
        <v>44</v>
      </c>
      <c r="B7" s="18">
        <v>4.2</v>
      </c>
      <c r="C7" s="19">
        <v>2500000.0</v>
      </c>
      <c r="D7" s="19">
        <v>1500000.0</v>
      </c>
      <c r="E7" s="19">
        <f t="shared" si="1"/>
        <v>1000000</v>
      </c>
      <c r="F7" s="19">
        <f t="shared" si="2"/>
        <v>3000000</v>
      </c>
    </row>
    <row r="8">
      <c r="A8" s="14" t="s">
        <v>45</v>
      </c>
      <c r="B8" s="15">
        <v>4.5</v>
      </c>
      <c r="C8" s="16">
        <v>2700000.0</v>
      </c>
      <c r="D8" s="16">
        <v>1700000.0</v>
      </c>
      <c r="E8" s="16">
        <f t="shared" si="1"/>
        <v>1000000</v>
      </c>
      <c r="F8" s="16">
        <f t="shared" si="2"/>
        <v>4000000</v>
      </c>
    </row>
    <row r="9">
      <c r="A9" s="17" t="s">
        <v>46</v>
      </c>
      <c r="B9" s="18">
        <v>5.0</v>
      </c>
      <c r="C9" s="19">
        <v>2850000.0</v>
      </c>
      <c r="D9" s="19">
        <v>1850000.0</v>
      </c>
      <c r="E9" s="19">
        <f t="shared" si="1"/>
        <v>1000000</v>
      </c>
      <c r="F9" s="19">
        <f t="shared" si="2"/>
        <v>5000000</v>
      </c>
    </row>
    <row r="10">
      <c r="A10" s="14" t="s">
        <v>47</v>
      </c>
      <c r="B10" s="15">
        <v>5.5</v>
      </c>
      <c r="C10" s="16">
        <v>3200000.0</v>
      </c>
      <c r="D10" s="16">
        <v>1700000.0</v>
      </c>
      <c r="E10" s="16">
        <f t="shared" si="1"/>
        <v>1500000</v>
      </c>
      <c r="F10" s="16">
        <f t="shared" si="2"/>
        <v>6500000</v>
      </c>
    </row>
    <row r="11">
      <c r="A11" s="17" t="s">
        <v>48</v>
      </c>
      <c r="B11" s="18">
        <v>5.8</v>
      </c>
      <c r="C11" s="19">
        <v>3600000.0</v>
      </c>
      <c r="D11" s="19">
        <v>1600000.0</v>
      </c>
      <c r="E11" s="19">
        <f t="shared" si="1"/>
        <v>2000000</v>
      </c>
      <c r="F11" s="19">
        <f t="shared" si="2"/>
        <v>8500000</v>
      </c>
    </row>
    <row r="12">
      <c r="A12" s="14" t="s">
        <v>49</v>
      </c>
      <c r="B12" s="15">
        <v>6.0</v>
      </c>
      <c r="C12" s="16">
        <v>4050000.0</v>
      </c>
      <c r="D12" s="16">
        <v>2050000.0</v>
      </c>
      <c r="E12" s="16">
        <f t="shared" si="1"/>
        <v>2000000</v>
      </c>
      <c r="F12" s="16">
        <f t="shared" si="2"/>
        <v>10500000</v>
      </c>
    </row>
    <row r="13">
      <c r="A13" s="17" t="s">
        <v>50</v>
      </c>
      <c r="B13" s="18">
        <v>7.0</v>
      </c>
      <c r="C13" s="19">
        <v>4800000.0</v>
      </c>
      <c r="D13" s="19">
        <v>2300000.0</v>
      </c>
      <c r="E13" s="19">
        <f t="shared" si="1"/>
        <v>2500000</v>
      </c>
      <c r="F13" s="19">
        <f t="shared" si="2"/>
        <v>13000000</v>
      </c>
    </row>
    <row r="14">
      <c r="A14" s="14" t="s">
        <v>51</v>
      </c>
      <c r="B14" s="15">
        <v>7.5</v>
      </c>
      <c r="C14" s="16">
        <v>5400000.0</v>
      </c>
      <c r="D14" s="16">
        <v>2900000.0</v>
      </c>
      <c r="E14" s="16">
        <f t="shared" si="1"/>
        <v>2500000</v>
      </c>
      <c r="F14" s="16">
        <f t="shared" si="2"/>
        <v>15500000</v>
      </c>
    </row>
    <row r="15">
      <c r="A15" s="17" t="s">
        <v>52</v>
      </c>
      <c r="B15" s="18">
        <v>8.0</v>
      </c>
      <c r="C15" s="19">
        <v>6000000.0</v>
      </c>
      <c r="D15" s="19">
        <v>3500000.0</v>
      </c>
      <c r="E15" s="19">
        <f t="shared" si="1"/>
        <v>2500000</v>
      </c>
      <c r="F15" s="19">
        <f t="shared" si="2"/>
        <v>18000000</v>
      </c>
    </row>
    <row r="16">
      <c r="A16" s="20" t="s">
        <v>53</v>
      </c>
      <c r="B16" s="21">
        <f t="shared" ref="B16:E16" si="3">SUM(B4:B15)</f>
        <v>59.5</v>
      </c>
      <c r="C16" s="22">
        <f t="shared" si="3"/>
        <v>38700000</v>
      </c>
      <c r="D16" s="22">
        <f t="shared" si="3"/>
        <v>20700000</v>
      </c>
      <c r="E16" s="22">
        <f t="shared" si="3"/>
        <v>18000000</v>
      </c>
      <c r="F16" s="22">
        <f>F15</f>
        <v>18000000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